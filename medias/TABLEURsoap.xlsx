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tables/table4.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tables/table2.xml" ContentType="application/vnd.openxmlformats-officedocument.spreadsheetml.table+xml"/>
  <Override PartName="/xl/worksheets/sheet4.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worksheets/sheet5.xml" ContentType="application/vnd.openxmlformats-officedocument.spreadsheetml.worksheet+xml"/>
  <Override PartName="/xl/styles.xml" ContentType="application/vnd.openxmlformats-officedocument.spreadsheetml.styles+xml"/>
  <Override PartName="/customXml/itemProps1.xml" ContentType="application/vnd.openxmlformats-officedocument.customXmlProperties+xml"/>
  <Override PartName="/xl/drawings/drawing1.xml" ContentType="application/vnd.openxmlformats-officedocument.drawing+xml"/>
  <Override PartName="/xl/worksheets/sheet3.xml" ContentType="application/vnd.openxmlformats-officedocument.spreadsheetml.worksheet+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CALCULATEUR" sheetId="1" state="visible" r:id="rId3"/>
    <sheet name="divers" sheetId="2" state="visible" r:id="rId4"/>
    <sheet name="table_alcalins" sheetId="3" state="visible" r:id="rId5"/>
    <sheet name="table_corps_gras" sheetId="4" state="visible" r:id="rId6"/>
    <sheet name="table_ajouts" sheetId="5" state="visible" r:id="rId7"/>
    <sheet name="table_senteurs" sheetId="6" state="visible" r:id="rId8"/>
  </sheets>
  <calcPr/>
  <extLst>
    <ext xmlns:x15="http://schemas.microsoft.com/office/spreadsheetml/2010/11/main" uri="{D0CA8CA8-9F24-4464-BF8E-62219DCF47F9}"/>
  </extLst>
</workbook>
</file>

<file path=xl/sharedStrings.xml><?xml version="1.0" encoding="utf-8"?>
<sst xmlns="http://schemas.openxmlformats.org/spreadsheetml/2006/main" count="1258" uniqueCount="1258">
  <si>
    <t xml:space="preserve">ALGORITHME DE CALCUL DE LA RECETTE D'UN SAVON</t>
  </si>
  <si>
    <t xml:space="preserve">Valeurs table</t>
  </si>
  <si>
    <t xml:space="preserve">Etape 1</t>
  </si>
  <si>
    <t xml:space="preserve">Choix de l'agent alcalin (alcali)</t>
  </si>
  <si>
    <t xml:space="preserve">Clé
primaire</t>
  </si>
  <si>
    <t xml:space="preserve">%
eau</t>
  </si>
  <si>
    <t xml:space="preserve">soude caustique solide NaOH (100%)</t>
  </si>
  <si>
    <t xml:space="preserve">Si alcalin liquide,indiquer % eau</t>
  </si>
  <si>
    <t xml:space="preserve">Etape 2</t>
  </si>
  <si>
    <r>
      <rPr>
        <b/>
        <sz val="11"/>
        <color theme="0"/>
        <rFont val="Aptos Narrow"/>
        <scheme val="minor"/>
      </rPr>
      <t xml:space="preserve">Option :</t>
    </r>
    <r>
      <rPr>
        <sz val="11"/>
        <color theme="0"/>
        <rFont val="Aptos Narrow"/>
        <scheme val="minor"/>
      </rPr>
      <t xml:space="preserve"> Choisir un excès ou réduction de l'agent alcalin</t>
    </r>
  </si>
  <si>
    <t>REDUCTION</t>
  </si>
  <si>
    <t xml:space="preserve">Préciser alors le pourcentage</t>
  </si>
  <si>
    <t xml:space="preserve">Etape 3</t>
  </si>
  <si>
    <t xml:space="preserve">Choix du/des corps gras</t>
  </si>
  <si>
    <t xml:space="preserve">Renseigner
mase</t>
  </si>
  <si>
    <t xml:space="preserve"> Réparatition</t>
  </si>
  <si>
    <t xml:space="preserve">RECUPERATION DES VALEURS DU CORPS GRAS DANS LA TABLE corps_gras</t>
  </si>
  <si>
    <t xml:space="preserve">Nature du corps gras</t>
  </si>
  <si>
    <t xml:space="preserve">Masse (gr)</t>
  </si>
  <si>
    <t>%</t>
  </si>
  <si>
    <t>INS</t>
  </si>
  <si>
    <t>Sapo</t>
  </si>
  <si>
    <t>Iode</t>
  </si>
  <si>
    <t>Douceur</t>
  </si>
  <si>
    <t>Lavant</t>
  </si>
  <si>
    <t xml:space="preserve">Vol.
Mousse</t>
  </si>
  <si>
    <t xml:space="preserve">Tenue
Mousse</t>
  </si>
  <si>
    <t>Dureté</t>
  </si>
  <si>
    <t>Solubilité</t>
  </si>
  <si>
    <t>Séchage</t>
  </si>
  <si>
    <t>Coco</t>
  </si>
  <si>
    <t>Olive</t>
  </si>
  <si>
    <t xml:space="preserve">Masse totale des corps gras (gr)</t>
  </si>
  <si>
    <t xml:space="preserve">CALCUL DES QUANTITES D'AGENT ALCALIN (g)</t>
  </si>
  <si>
    <t xml:space="preserve">CORPS GRAS</t>
  </si>
  <si>
    <t xml:space="preserve">NaOH
(100%)</t>
  </si>
  <si>
    <t xml:space="preserve">NaOH
à x%</t>
  </si>
  <si>
    <t xml:space="preserve">KOH
(90%)</t>
  </si>
  <si>
    <t xml:space="preserve">KOH
à x%</t>
  </si>
  <si>
    <t xml:space="preserve">TOTAL BRUT (g)</t>
  </si>
  <si>
    <t xml:space="preserve">TOTAL AVEC REDUCTION (g)</t>
  </si>
  <si>
    <t xml:space="preserve">TOTAL AVEC EXCES (g)</t>
  </si>
  <si>
    <t xml:space="preserve">CALCUL DE LA QUANTITE D'EAU</t>
  </si>
  <si>
    <t>NEUTRE</t>
  </si>
  <si>
    <t xml:space="preserve">Apport pour dissolution de l'alcalin (g)</t>
  </si>
  <si>
    <t xml:space="preserve">Apport complémentaire min (g)</t>
  </si>
  <si>
    <t xml:space="preserve">Apport complémentaire max (g)</t>
  </si>
  <si>
    <t xml:space="preserve">AVEC
réduction</t>
  </si>
  <si>
    <t xml:space="preserve">AVEC excès</t>
  </si>
  <si>
    <t xml:space="preserve">Pondération des indices pour 1 point de réduction de soude ou de potasse C</t>
  </si>
  <si>
    <t xml:space="preserve">Vol mousse</t>
  </si>
  <si>
    <t xml:space="preserve">Ten. mousse</t>
  </si>
  <si>
    <t xml:space="preserve">Etape 4</t>
  </si>
  <si>
    <t xml:space="preserve">Corps gras</t>
  </si>
  <si>
    <t xml:space="preserve">Vol
mousse</t>
  </si>
  <si>
    <t xml:space="preserve">Tenue
mousse</t>
  </si>
  <si>
    <t xml:space="preserve">Totaux neutre</t>
  </si>
  <si>
    <t xml:space="preserve">Indices corrigés pour réduction</t>
  </si>
  <si>
    <t xml:space="preserve">Indices corrigés pour excès</t>
  </si>
  <si>
    <t xml:space="preserve">Choix excès ou réduction alcalin</t>
  </si>
  <si>
    <t>EXCES</t>
  </si>
  <si>
    <t>id_alcalin</t>
  </si>
  <si>
    <t>designation</t>
  </si>
  <si>
    <t>taux_eau</t>
  </si>
  <si>
    <t xml:space="preserve">solution de soude liquide à x%</t>
  </si>
  <si>
    <t xml:space="preserve">potasse caustique solide KOH (90%)</t>
  </si>
  <si>
    <t xml:space="preserve">potasse caustique solide KOH à x%</t>
  </si>
  <si>
    <t>id_corps_gras</t>
  </si>
  <si>
    <t>nom</t>
  </si>
  <si>
    <t>sap_naoh</t>
  </si>
  <si>
    <t>sap_koh</t>
  </si>
  <si>
    <t>durete</t>
  </si>
  <si>
    <t>detergence</t>
  </si>
  <si>
    <t>douceur</t>
  </si>
  <si>
    <t>moussant</t>
  </si>
  <si>
    <t>stabilite</t>
  </si>
  <si>
    <t>iode</t>
  </si>
  <si>
    <t>ins</t>
  </si>
  <si>
    <t>couleur</t>
  </si>
  <si>
    <t>odeur</t>
  </si>
  <si>
    <t>ags_laurique</t>
  </si>
  <si>
    <t>ags_myristique</t>
  </si>
  <si>
    <t>ags_palamitique</t>
  </si>
  <si>
    <t>ags_steratique</t>
  </si>
  <si>
    <t>agi_ricinoleique</t>
  </si>
  <si>
    <t>agi_oleique</t>
  </si>
  <si>
    <t>agi_lonoleique</t>
  </si>
  <si>
    <t>agi_linolenique</t>
  </si>
  <si>
    <t>lavant</t>
  </si>
  <si>
    <t>vol_mousse</t>
  </si>
  <si>
    <t>tenue_mousse</t>
  </si>
  <si>
    <t>solubilite</t>
  </si>
  <si>
    <t>sechage</t>
  </si>
  <si>
    <t>Abricot</t>
  </si>
  <si>
    <t>139</t>
  </si>
  <si>
    <t>195</t>
  </si>
  <si>
    <t>6</t>
  </si>
  <si>
    <t>0</t>
  </si>
  <si>
    <t>93</t>
  </si>
  <si>
    <t>100</t>
  </si>
  <si>
    <t>91</t>
  </si>
  <si>
    <t xml:space="preserve">Jaune clair</t>
  </si>
  <si>
    <t xml:space="preserve">Légère de noix et d'amande amère</t>
  </si>
  <si>
    <t>66</t>
  </si>
  <si>
    <t>27</t>
  </si>
  <si>
    <t xml:space="preserve">Abyssinie (graines)</t>
  </si>
  <si>
    <t>120</t>
  </si>
  <si>
    <t>168</t>
  </si>
  <si>
    <t>94</t>
  </si>
  <si>
    <t>80</t>
  </si>
  <si>
    <t>98</t>
  </si>
  <si>
    <t>70</t>
  </si>
  <si>
    <t xml:space="preserve">Transparent à jaune très clair</t>
  </si>
  <si>
    <t>Légère</t>
  </si>
  <si>
    <t>3</t>
  </si>
  <si>
    <t>2</t>
  </si>
  <si>
    <t>18</t>
  </si>
  <si>
    <t>11</t>
  </si>
  <si>
    <t>4</t>
  </si>
  <si>
    <t>Açai</t>
  </si>
  <si>
    <t>132</t>
  </si>
  <si>
    <t>185</t>
  </si>
  <si>
    <t>33</t>
  </si>
  <si>
    <t>110</t>
  </si>
  <si>
    <t>75</t>
  </si>
  <si>
    <t>Vert</t>
  </si>
  <si>
    <t xml:space="preserve">Végétale douce</t>
  </si>
  <si>
    <t>25</t>
  </si>
  <si>
    <t>61</t>
  </si>
  <si>
    <t>12</t>
  </si>
  <si>
    <t xml:space="preserve">Acide cétylique (palmitique)</t>
  </si>
  <si>
    <t>153</t>
  </si>
  <si>
    <t>215</t>
  </si>
  <si>
    <t>213</t>
  </si>
  <si>
    <t>Blanc</t>
  </si>
  <si>
    <t>Neutre</t>
  </si>
  <si>
    <t xml:space="preserve">Acide laurique</t>
  </si>
  <si>
    <t>200</t>
  </si>
  <si>
    <t>280</t>
  </si>
  <si>
    <t>99</t>
  </si>
  <si>
    <t>1</t>
  </si>
  <si>
    <t xml:space="preserve">Acide oléique (oléine)</t>
  </si>
  <si>
    <t>144</t>
  </si>
  <si>
    <t>202</t>
  </si>
  <si>
    <t>92</t>
  </si>
  <si>
    <t>Jaune</t>
  </si>
  <si>
    <t>Grasse</t>
  </si>
  <si>
    <t xml:space="preserve">Acide stéarique (stéarine)</t>
  </si>
  <si>
    <t>141</t>
  </si>
  <si>
    <t>198</t>
  </si>
  <si>
    <t>196</t>
  </si>
  <si>
    <t>Inodore</t>
  </si>
  <si>
    <t xml:space="preserve">Allanblackia (beurre)</t>
  </si>
  <si>
    <t>147</t>
  </si>
  <si>
    <t>207</t>
  </si>
  <si>
    <t>40</t>
  </si>
  <si>
    <t>167</t>
  </si>
  <si>
    <t>72</t>
  </si>
  <si>
    <t>23</t>
  </si>
  <si>
    <t xml:space="preserve">Amande douce</t>
  </si>
  <si>
    <t>7</t>
  </si>
  <si>
    <t>89</t>
  </si>
  <si>
    <t>97</t>
  </si>
  <si>
    <t xml:space="preserve">Douce et discrète</t>
  </si>
  <si>
    <t>71</t>
  </si>
  <si>
    <t xml:space="preserve">Andiroba (touloucouna, carapa)</t>
  </si>
  <si>
    <t>134</t>
  </si>
  <si>
    <t>188</t>
  </si>
  <si>
    <t>36</t>
  </si>
  <si>
    <t>60</t>
  </si>
  <si>
    <t>68</t>
  </si>
  <si>
    <t xml:space="preserve">Jaune pâle</t>
  </si>
  <si>
    <t xml:space="preserve">Suave, avec des notes de noix</t>
  </si>
  <si>
    <t>28</t>
  </si>
  <si>
    <t>8</t>
  </si>
  <si>
    <t>51</t>
  </si>
  <si>
    <t>9</t>
  </si>
  <si>
    <t>Arachide</t>
  </si>
  <si>
    <t>137</t>
  </si>
  <si>
    <t>192</t>
  </si>
  <si>
    <t>82</t>
  </si>
  <si>
    <t>Cacahuète</t>
  </si>
  <si>
    <t>56</t>
  </si>
  <si>
    <t>26</t>
  </si>
  <si>
    <t>Argan</t>
  </si>
  <si>
    <t>136</t>
  </si>
  <si>
    <t>191</t>
  </si>
  <si>
    <t>15</t>
  </si>
  <si>
    <t>81</t>
  </si>
  <si>
    <t>14</t>
  </si>
  <si>
    <t>95</t>
  </si>
  <si>
    <t xml:space="preserve">Orange ambré</t>
  </si>
  <si>
    <t xml:space="preserve">Très forte</t>
  </si>
  <si>
    <t>46</t>
  </si>
  <si>
    <t>34</t>
  </si>
  <si>
    <t xml:space="preserve">Argousier (graines et fruits)</t>
  </si>
  <si>
    <t>130</t>
  </si>
  <si>
    <t>183</t>
  </si>
  <si>
    <t>31</t>
  </si>
  <si>
    <t>38</t>
  </si>
  <si>
    <t>86</t>
  </si>
  <si>
    <t>Orangé</t>
  </si>
  <si>
    <t xml:space="preserve">Assez forte de graine, fruitée légèrement poivrée</t>
  </si>
  <si>
    <t>30</t>
  </si>
  <si>
    <t>10</t>
  </si>
  <si>
    <t xml:space="preserve">Argousier (graines)</t>
  </si>
  <si>
    <t>88</t>
  </si>
  <si>
    <t>165</t>
  </si>
  <si>
    <t xml:space="preserve">Orangé assez prononcé</t>
  </si>
  <si>
    <t>Asclépiade</t>
  </si>
  <si>
    <t>135</t>
  </si>
  <si>
    <t>190</t>
  </si>
  <si>
    <t>5</t>
  </si>
  <si>
    <t>50</t>
  </si>
  <si>
    <t>Avocat</t>
  </si>
  <si>
    <t>133</t>
  </si>
  <si>
    <t>186</t>
  </si>
  <si>
    <t>22</t>
  </si>
  <si>
    <t xml:space="preserve">Vert foncé</t>
  </si>
  <si>
    <t xml:space="preserve">Fruitée de l'avocat</t>
  </si>
  <si>
    <t>20</t>
  </si>
  <si>
    <t>58</t>
  </si>
  <si>
    <t>Avoine</t>
  </si>
  <si>
    <t>17</t>
  </si>
  <si>
    <t>79</t>
  </si>
  <si>
    <t>104</t>
  </si>
  <si>
    <t xml:space="preserve">Ambré, marron clair</t>
  </si>
  <si>
    <t xml:space="preserve">Caractéristique d’avoine</t>
  </si>
  <si>
    <t>39</t>
  </si>
  <si>
    <t>Babassu</t>
  </si>
  <si>
    <t>175</t>
  </si>
  <si>
    <t>245</t>
  </si>
  <si>
    <t>85</t>
  </si>
  <si>
    <t>230</t>
  </si>
  <si>
    <t xml:space="preserve">Blanc cassé</t>
  </si>
  <si>
    <t xml:space="preserve">Légère de noix</t>
  </si>
  <si>
    <t>Baobab</t>
  </si>
  <si>
    <t>143</t>
  </si>
  <si>
    <t>29</t>
  </si>
  <si>
    <t>67</t>
  </si>
  <si>
    <t>125</t>
  </si>
  <si>
    <t xml:space="preserve">Jaune à jaune foncé</t>
  </si>
  <si>
    <t xml:space="preserve">Douce de noix</t>
  </si>
  <si>
    <t>24</t>
  </si>
  <si>
    <t>37</t>
  </si>
  <si>
    <t xml:space="preserve">Beurre de table non salé clarifié (vache)</t>
  </si>
  <si>
    <t>157</t>
  </si>
  <si>
    <t>220</t>
  </si>
  <si>
    <t>187</t>
  </si>
  <si>
    <t>21</t>
  </si>
  <si>
    <t xml:space="preserve">Bleuet (pépins)</t>
  </si>
  <si>
    <t>128</t>
  </si>
  <si>
    <t>182</t>
  </si>
  <si>
    <t>155</t>
  </si>
  <si>
    <t xml:space="preserve">Odeur douce de myrtille</t>
  </si>
  <si>
    <t>49</t>
  </si>
  <si>
    <t>Bourrache</t>
  </si>
  <si>
    <t>55</t>
  </si>
  <si>
    <t xml:space="preserve">Jaune pâle à jaune verdâtre</t>
  </si>
  <si>
    <t xml:space="preserve">Végétale, légèrement acidulée</t>
  </si>
  <si>
    <t>43</t>
  </si>
  <si>
    <t xml:space="preserve">Brocoli (graines)</t>
  </si>
  <si>
    <t>123</t>
  </si>
  <si>
    <t>172</t>
  </si>
  <si>
    <t>105</t>
  </si>
  <si>
    <t xml:space="preserve">Jaune doré</t>
  </si>
  <si>
    <t xml:space="preserve">De chou</t>
  </si>
  <si>
    <t>Buriti</t>
  </si>
  <si>
    <t>159</t>
  </si>
  <si>
    <t>223</t>
  </si>
  <si>
    <t>19</t>
  </si>
  <si>
    <t xml:space="preserve">Orange foncé à rouge</t>
  </si>
  <si>
    <t>Verte</t>
  </si>
  <si>
    <t>Cacao</t>
  </si>
  <si>
    <t>138</t>
  </si>
  <si>
    <t>194</t>
  </si>
  <si>
    <t xml:space="preserve">Jaune d'or</t>
  </si>
  <si>
    <t>Chocolat</t>
  </si>
  <si>
    <t>35</t>
  </si>
  <si>
    <t xml:space="preserve">Cade vraie (pour le calcul de la soude uniquement)</t>
  </si>
  <si>
    <t xml:space="preserve">Brun jaune noirâtre</t>
  </si>
  <si>
    <t xml:space="preserve">Forte et caractéristique</t>
  </si>
  <si>
    <t xml:space="preserve">Café torréfié</t>
  </si>
  <si>
    <t>180</t>
  </si>
  <si>
    <t>48</t>
  </si>
  <si>
    <t>87</t>
  </si>
  <si>
    <t xml:space="preserve">Marron foncé</t>
  </si>
  <si>
    <t>Café</t>
  </si>
  <si>
    <t xml:space="preserve">Café vert</t>
  </si>
  <si>
    <t xml:space="preserve">Calendula (macérât huile de tournesol)</t>
  </si>
  <si>
    <t>189</t>
  </si>
  <si>
    <t>63</t>
  </si>
  <si>
    <t xml:space="preserve">Jaune pâle, jaune</t>
  </si>
  <si>
    <t xml:space="preserve">Douce, végétale</t>
  </si>
  <si>
    <t>16</t>
  </si>
  <si>
    <t xml:space="preserve">Calophylle inophyle (tamanu)</t>
  </si>
  <si>
    <t>148</t>
  </si>
  <si>
    <t>208</t>
  </si>
  <si>
    <t>73</t>
  </si>
  <si>
    <t>111</t>
  </si>
  <si>
    <t xml:space="preserve">Vert sombre</t>
  </si>
  <si>
    <t xml:space="preserve">Typique de noix, verte, épicée</t>
  </si>
  <si>
    <t>13</t>
  </si>
  <si>
    <t>Camélia</t>
  </si>
  <si>
    <t>193</t>
  </si>
  <si>
    <t>78</t>
  </si>
  <si>
    <t>115</t>
  </si>
  <si>
    <t xml:space="preserve">Douce, subtile et plaisante</t>
  </si>
  <si>
    <t>77</t>
  </si>
  <si>
    <t>Cameline</t>
  </si>
  <si>
    <t>44</t>
  </si>
  <si>
    <t xml:space="preserve">Jaune doré profond</t>
  </si>
  <si>
    <t xml:space="preserve">Odeur très verte et végétale</t>
  </si>
  <si>
    <t>45</t>
  </si>
  <si>
    <t xml:space="preserve">Canard (graisse, chair et peau)</t>
  </si>
  <si>
    <t>122</t>
  </si>
  <si>
    <t xml:space="preserve">Graisse de canard</t>
  </si>
  <si>
    <t xml:space="preserve">Canneberge (graines)</t>
  </si>
  <si>
    <t>150</t>
  </si>
  <si>
    <t>Jaune/vert</t>
  </si>
  <si>
    <t xml:space="preserve">Douce et légèrement verte, végétale</t>
  </si>
  <si>
    <t>32</t>
  </si>
  <si>
    <t>Canola</t>
  </si>
  <si>
    <t xml:space="preserve">Jaune d’or</t>
  </si>
  <si>
    <t xml:space="preserve">Herbacée légère</t>
  </si>
  <si>
    <t xml:space="preserve">Canola oléique</t>
  </si>
  <si>
    <t>90</t>
  </si>
  <si>
    <t>96</t>
  </si>
  <si>
    <t>74</t>
  </si>
  <si>
    <t xml:space="preserve">Carotte (graines)</t>
  </si>
  <si>
    <t>103</t>
  </si>
  <si>
    <t xml:space="preserve">Brun jaunâtre</t>
  </si>
  <si>
    <t xml:space="preserve">Terreux, ligneux et racinaire</t>
  </si>
  <si>
    <t>Carthame</t>
  </si>
  <si>
    <t>145</t>
  </si>
  <si>
    <t>47</t>
  </si>
  <si>
    <t xml:space="preserve">Jaune orangé</t>
  </si>
  <si>
    <t xml:space="preserve">Forte, de noisette</t>
  </si>
  <si>
    <t xml:space="preserve">Carthame oléique</t>
  </si>
  <si>
    <t xml:space="preserve">Agréable de graine</t>
  </si>
  <si>
    <t xml:space="preserve">Cassis (pépins)</t>
  </si>
  <si>
    <t>178</t>
  </si>
  <si>
    <t xml:space="preserve">Cerise (noyaux)</t>
  </si>
  <si>
    <t>62</t>
  </si>
  <si>
    <t xml:space="preserve">Caractéristique de noyaux de cerise</t>
  </si>
  <si>
    <t>Chanvre</t>
  </si>
  <si>
    <t>Herbacée</t>
  </si>
  <si>
    <t>57</t>
  </si>
  <si>
    <t xml:space="preserve">Chardon marie</t>
  </si>
  <si>
    <t>140</t>
  </si>
  <si>
    <t>64</t>
  </si>
  <si>
    <t>Chaulmoogra</t>
  </si>
  <si>
    <t xml:space="preserve">Chia (graines)</t>
  </si>
  <si>
    <t>160</t>
  </si>
  <si>
    <t>83</t>
  </si>
  <si>
    <t xml:space="preserve">Cire d'abeille</t>
  </si>
  <si>
    <t>84</t>
  </si>
  <si>
    <t xml:space="preserve">Miel, cire</t>
  </si>
  <si>
    <t xml:space="preserve">Cire de candelilla</t>
  </si>
  <si>
    <t>106</t>
  </si>
  <si>
    <t xml:space="preserve">Cire du Japon</t>
  </si>
  <si>
    <t>204</t>
  </si>
  <si>
    <t>Douce</t>
  </si>
  <si>
    <t xml:space="preserve">Citrouille (graines)</t>
  </si>
  <si>
    <t xml:space="preserve">Noix/cacahuète douce</t>
  </si>
  <si>
    <t>257</t>
  </si>
  <si>
    <t xml:space="preserve">Noix de coco</t>
  </si>
  <si>
    <t xml:space="preserve">Coco fractionnée (caprylis)</t>
  </si>
  <si>
    <t>232</t>
  </si>
  <si>
    <t>325</t>
  </si>
  <si>
    <t>324</t>
  </si>
  <si>
    <t xml:space="preserve">Coco hydrogénée (type Végétaline)</t>
  </si>
  <si>
    <t>258</t>
  </si>
  <si>
    <t>Cohune</t>
  </si>
  <si>
    <t>146</t>
  </si>
  <si>
    <t>205</t>
  </si>
  <si>
    <t xml:space="preserve">Légèrement camphrée</t>
  </si>
  <si>
    <t>Colza</t>
  </si>
  <si>
    <t>69</t>
  </si>
  <si>
    <t>Caractéristique</t>
  </si>
  <si>
    <t xml:space="preserve">Concombre (graines)</t>
  </si>
  <si>
    <t>65</t>
  </si>
  <si>
    <t xml:space="preserve">Jaune vert</t>
  </si>
  <si>
    <t xml:space="preserve">Fraîche  et verte</t>
  </si>
  <si>
    <t>Coprah</t>
  </si>
  <si>
    <t xml:space="preserve">Coton (graines)</t>
  </si>
  <si>
    <t>108</t>
  </si>
  <si>
    <t>52</t>
  </si>
  <si>
    <t xml:space="preserve">Courge (pépins)</t>
  </si>
  <si>
    <t xml:space="preserve">Cupuaçu (beurre)</t>
  </si>
  <si>
    <t>54</t>
  </si>
  <si>
    <t xml:space="preserve">Évoquant le chocolat praliné</t>
  </si>
  <si>
    <t>42</t>
  </si>
  <si>
    <t xml:space="preserve">Emeu (autruche)</t>
  </si>
  <si>
    <t>Blanchâtre</t>
  </si>
  <si>
    <t xml:space="preserve">Érable à Sucre</t>
  </si>
  <si>
    <t>59</t>
  </si>
  <si>
    <t>109</t>
  </si>
  <si>
    <t xml:space="preserve">Figue de Barbarie (graines)</t>
  </si>
  <si>
    <t>Végétale</t>
  </si>
  <si>
    <t xml:space="preserve">Fraise (pépins)</t>
  </si>
  <si>
    <t>Rose</t>
  </si>
  <si>
    <t xml:space="preserve">Douce fruité</t>
  </si>
  <si>
    <t xml:space="preserve">Framboise (pépins)</t>
  </si>
  <si>
    <t xml:space="preserve">Verte, de graine, aux notes légèrement fruitées</t>
  </si>
  <si>
    <t xml:space="preserve">Fruit de la passion</t>
  </si>
  <si>
    <t xml:space="preserve">Jaune clair doré</t>
  </si>
  <si>
    <t xml:space="preserve">Fruit sauvage mûr</t>
  </si>
  <si>
    <t xml:space="preserve">Germes de blé</t>
  </si>
  <si>
    <t>Ambré</t>
  </si>
  <si>
    <t xml:space="preserve">De céréales</t>
  </si>
  <si>
    <t xml:space="preserve">Ghee (beurre bovin clarifié)</t>
  </si>
  <si>
    <t>162</t>
  </si>
  <si>
    <t>227</t>
  </si>
  <si>
    <t xml:space="preserve">Beurre rance</t>
  </si>
  <si>
    <t xml:space="preserve">Goudron de pin (pour le calcul de la soude uniquement)</t>
  </si>
  <si>
    <t xml:space="preserve">Grenade (graines)</t>
  </si>
  <si>
    <t xml:space="preserve">Fruité, céréale</t>
  </si>
  <si>
    <t xml:space="preserve">Grignons d'olive</t>
  </si>
  <si>
    <t xml:space="preserve">Vert froncé à marron</t>
  </si>
  <si>
    <t xml:space="preserve">Hibiscus (bissap)</t>
  </si>
  <si>
    <t xml:space="preserve">Illipé (beurre)</t>
  </si>
  <si>
    <t>152</t>
  </si>
  <si>
    <t xml:space="preserve">Blanc cassé, jaune</t>
  </si>
  <si>
    <t xml:space="preserve">Végétale, légère</t>
  </si>
  <si>
    <t>Jatropha</t>
  </si>
  <si>
    <t>102</t>
  </si>
  <si>
    <t>Jojoba</t>
  </si>
  <si>
    <t>Karanja</t>
  </si>
  <si>
    <t xml:space="preserve">Légère de noix fraîche</t>
  </si>
  <si>
    <t xml:space="preserve">Karité brut (beurre)</t>
  </si>
  <si>
    <t>179</t>
  </si>
  <si>
    <t>116</t>
  </si>
  <si>
    <t xml:space="preserve">Jaune clair à jaune foncé</t>
  </si>
  <si>
    <t xml:space="preserve">Corsée, profonde</t>
  </si>
  <si>
    <t xml:space="preserve">Kokum (beurre)</t>
  </si>
  <si>
    <t xml:space="preserve">Kombo (beurre)</t>
  </si>
  <si>
    <t>250</t>
  </si>
  <si>
    <t xml:space="preserve">Kpangnan (beurre)</t>
  </si>
  <si>
    <t>149</t>
  </si>
  <si>
    <t>Kukui</t>
  </si>
  <si>
    <t>Incolore</t>
  </si>
  <si>
    <t>Lanoline</t>
  </si>
  <si>
    <t>76</t>
  </si>
  <si>
    <t xml:space="preserve">Lapin (graisse)</t>
  </si>
  <si>
    <t>201</t>
  </si>
  <si>
    <t xml:space="preserve">Laurier (baies)</t>
  </si>
  <si>
    <t>124</t>
  </si>
  <si>
    <t xml:space="preserve">Vert foncé à brun/vert</t>
  </si>
  <si>
    <t xml:space="preserve">Puissante et aromatique, poivrée, fraîche</t>
  </si>
  <si>
    <t xml:space="preserve">Limnanthe (écume des prés)</t>
  </si>
  <si>
    <t>169</t>
  </si>
  <si>
    <t xml:space="preserve">Lin (graines)</t>
  </si>
  <si>
    <t>-6</t>
  </si>
  <si>
    <t xml:space="preserve">Luffa (graines)</t>
  </si>
  <si>
    <t xml:space="preserve">Verte à reflets rouges</t>
  </si>
  <si>
    <t xml:space="preserve">Verte, de feuille</t>
  </si>
  <si>
    <t>Macadamia</t>
  </si>
  <si>
    <t>119</t>
  </si>
  <si>
    <t xml:space="preserve">Jaune légèrement vert</t>
  </si>
  <si>
    <t xml:space="preserve">Douce et agréable, avec des notes de noix</t>
  </si>
  <si>
    <t>Mafura</t>
  </si>
  <si>
    <t>41</t>
  </si>
  <si>
    <t xml:space="preserve">Caractéristique acidulée et de noisette</t>
  </si>
  <si>
    <t xml:space="preserve">Mahua (beurre)</t>
  </si>
  <si>
    <t>Maïs</t>
  </si>
  <si>
    <t>117</t>
  </si>
  <si>
    <t xml:space="preserve">Jaune foncé</t>
  </si>
  <si>
    <t>Mangue</t>
  </si>
  <si>
    <t xml:space="preserve">Mangue (beurre)</t>
  </si>
  <si>
    <t>Marula</t>
  </si>
  <si>
    <t xml:space="preserve">Notes de graines et des notes animales</t>
  </si>
  <si>
    <t xml:space="preserve">Mongongo (manketti)</t>
  </si>
  <si>
    <t>Monoï</t>
  </si>
  <si>
    <t>255</t>
  </si>
  <si>
    <t>246</t>
  </si>
  <si>
    <t xml:space="preserve">Caractéristique de fleurs de tiaré</t>
  </si>
  <si>
    <t>Moringa</t>
  </si>
  <si>
    <t xml:space="preserve">Noisette grillée</t>
  </si>
  <si>
    <t>Moutarde</t>
  </si>
  <si>
    <t>173</t>
  </si>
  <si>
    <t>101</t>
  </si>
  <si>
    <t xml:space="preserve">Piquante, caractéristique de la moutarde</t>
  </si>
  <si>
    <t xml:space="preserve">Murumuru (beurre)</t>
  </si>
  <si>
    <t>275</t>
  </si>
  <si>
    <t xml:space="preserve">Végétale, noix grillées</t>
  </si>
  <si>
    <t xml:space="preserve">Neem (margousier)</t>
  </si>
  <si>
    <t>121</t>
  </si>
  <si>
    <t xml:space="preserve">Orange marron vert</t>
  </si>
  <si>
    <t xml:space="preserve">Forte, acidulée, oignon grillé, café torréfié</t>
  </si>
  <si>
    <t xml:space="preserve">Nigelle (cumin noir)</t>
  </si>
  <si>
    <t xml:space="preserve">Brun orangé</t>
  </si>
  <si>
    <t xml:space="preserve">Très aromatique, épicée, piquante</t>
  </si>
  <si>
    <t>Noisette</t>
  </si>
  <si>
    <t>Noix</t>
  </si>
  <si>
    <t xml:space="preserve">De noix</t>
  </si>
  <si>
    <t xml:space="preserve">Noix du Brésil</t>
  </si>
  <si>
    <t xml:space="preserve">Jaune clair à très clair</t>
  </si>
  <si>
    <t xml:space="preserve">Oie (graisse)</t>
  </si>
  <si>
    <t xml:space="preserve">Oléine de karité (karité fractionné)</t>
  </si>
  <si>
    <t xml:space="preserve">Jaune doré à vert</t>
  </si>
  <si>
    <t xml:space="preserve">Prononcée fruitée</t>
  </si>
  <si>
    <t>Onagre</t>
  </si>
  <si>
    <t xml:space="preserve">Jaune à jaune vert</t>
  </si>
  <si>
    <t xml:space="preserve">Douce et agréable</t>
  </si>
  <si>
    <t>Owala</t>
  </si>
  <si>
    <t>126</t>
  </si>
  <si>
    <t>177</t>
  </si>
  <si>
    <t xml:space="preserve">Pachira (graines)</t>
  </si>
  <si>
    <t>211</t>
  </si>
  <si>
    <t>142</t>
  </si>
  <si>
    <t xml:space="preserve">Palme blanche (raffinée)</t>
  </si>
  <si>
    <t>199</t>
  </si>
  <si>
    <t>53</t>
  </si>
  <si>
    <t xml:space="preserve">Palme rouge (brute)</t>
  </si>
  <si>
    <t xml:space="preserve">Rouge foncé</t>
  </si>
  <si>
    <t xml:space="preserve">Palmier nain</t>
  </si>
  <si>
    <t>176</t>
  </si>
  <si>
    <t xml:space="preserve">Jaune verdâtre clair</t>
  </si>
  <si>
    <t xml:space="preserve">Palmier nain (extrait)</t>
  </si>
  <si>
    <t>164</t>
  </si>
  <si>
    <t>Palmiste</t>
  </si>
  <si>
    <t>247</t>
  </si>
  <si>
    <t>Papaye</t>
  </si>
  <si>
    <t>113</t>
  </si>
  <si>
    <t>158</t>
  </si>
  <si>
    <t xml:space="preserve">Jaune clair à vert</t>
  </si>
  <si>
    <t xml:space="preserve">Papaye avec notes cacaotés</t>
  </si>
  <si>
    <t xml:space="preserve">Pastèque (pépins)</t>
  </si>
  <si>
    <t xml:space="preserve">Patawa (unguarahua, seje)</t>
  </si>
  <si>
    <t xml:space="preserve">Jaune verdâtre</t>
  </si>
  <si>
    <t xml:space="preserve">Pavot (graines)</t>
  </si>
  <si>
    <t xml:space="preserve">Jaune vert clair</t>
  </si>
  <si>
    <t>Florale</t>
  </si>
  <si>
    <t>Pécan</t>
  </si>
  <si>
    <t>Dorée</t>
  </si>
  <si>
    <t xml:space="preserve">Pêche (noyaux)</t>
  </si>
  <si>
    <t>Périlla</t>
  </si>
  <si>
    <t xml:space="preserve">Jaune pâle à doré</t>
  </si>
  <si>
    <t xml:space="preserve">De mine de crayon</t>
  </si>
  <si>
    <t xml:space="preserve">Pied de bœuf</t>
  </si>
  <si>
    <t>Piqui</t>
  </si>
  <si>
    <t>209</t>
  </si>
  <si>
    <t>Fruitée</t>
  </si>
  <si>
    <t>Pistache</t>
  </si>
  <si>
    <t xml:space="preserve">Pistache, amande</t>
  </si>
  <si>
    <t xml:space="preserve">Pomme (pépins)</t>
  </si>
  <si>
    <t xml:space="preserve">Poulet (graisse)</t>
  </si>
  <si>
    <t>Pracaxi</t>
  </si>
  <si>
    <t>107</t>
  </si>
  <si>
    <t xml:space="preserve">Jaune pâle à jaune brun</t>
  </si>
  <si>
    <t xml:space="preserve">Végétale avec des notes de cacahuète et de café gr</t>
  </si>
  <si>
    <t xml:space="preserve">Prune (noyaux)</t>
  </si>
  <si>
    <t xml:space="preserve">D'amande amère, de frangipane</t>
  </si>
  <si>
    <t xml:space="preserve">Raisin (pépins)</t>
  </si>
  <si>
    <t>129</t>
  </si>
  <si>
    <t>181</t>
  </si>
  <si>
    <t>131</t>
  </si>
  <si>
    <t xml:space="preserve">Vert pâle</t>
  </si>
  <si>
    <t>Ricin</t>
  </si>
  <si>
    <t xml:space="preserve">Jaune pale</t>
  </si>
  <si>
    <t xml:space="preserve">Faible et fraîche</t>
  </si>
  <si>
    <t>Roquette</t>
  </si>
  <si>
    <t xml:space="preserve">Liquide jaune</t>
  </si>
  <si>
    <t xml:space="preserve">notes vertes</t>
  </si>
  <si>
    <t xml:space="preserve">Rose musquée</t>
  </si>
  <si>
    <t xml:space="preserve">Sacha inchi</t>
  </si>
  <si>
    <t xml:space="preserve">Incolore à jaune</t>
  </si>
  <si>
    <t xml:space="preserve">Légère, douce et végétale</t>
  </si>
  <si>
    <t>Saindoux</t>
  </si>
  <si>
    <t xml:space="preserve">Sal (beurre)</t>
  </si>
  <si>
    <t>Sapote</t>
  </si>
  <si>
    <t xml:space="preserve">Jaune clair à jaune orangé</t>
  </si>
  <si>
    <t xml:space="preserve">Douce et fine d'amande amère</t>
  </si>
  <si>
    <t>Saumon</t>
  </si>
  <si>
    <t>Brune</t>
  </si>
  <si>
    <t>Sésame</t>
  </si>
  <si>
    <t xml:space="preserve">De sésame</t>
  </si>
  <si>
    <t>Soja</t>
  </si>
  <si>
    <t xml:space="preserve">Orange, ambré</t>
  </si>
  <si>
    <t xml:space="preserve">Douce, herbacée</t>
  </si>
  <si>
    <t xml:space="preserve">Soja (partiellement hydrogénée)</t>
  </si>
  <si>
    <t xml:space="preserve">Orange pâle</t>
  </si>
  <si>
    <t xml:space="preserve">Soja hydrogénée</t>
  </si>
  <si>
    <t xml:space="preserve">Son de riz</t>
  </si>
  <si>
    <t>Souchet</t>
  </si>
  <si>
    <t xml:space="preserve">caractéristique,  fruit sec</t>
  </si>
  <si>
    <t xml:space="preserve">Suif de bœuf</t>
  </si>
  <si>
    <t xml:space="preserve">Suif de cerf</t>
  </si>
  <si>
    <t>166</t>
  </si>
  <si>
    <t xml:space="preserve">Suif de chèvre</t>
  </si>
  <si>
    <t xml:space="preserve">Suif de mouton</t>
  </si>
  <si>
    <t>156</t>
  </si>
  <si>
    <t xml:space="preserve">Suif d'ours</t>
  </si>
  <si>
    <t>Marron</t>
  </si>
  <si>
    <t xml:space="preserve">Tomate (pépins)</t>
  </si>
  <si>
    <t>Tournesol</t>
  </si>
  <si>
    <t xml:space="preserve">Légère de noisette</t>
  </si>
  <si>
    <t xml:space="preserve">Tournesol oléique</t>
  </si>
  <si>
    <t xml:space="preserve">Tucuma (graines)</t>
  </si>
  <si>
    <t>170</t>
  </si>
  <si>
    <t>238</t>
  </si>
  <si>
    <t xml:space="preserve">Gourmande de café au lait et caramel</t>
  </si>
  <si>
    <t xml:space="preserve">Ucuuba (beurre)</t>
  </si>
  <si>
    <t>Boisée</t>
  </si>
  <si>
    <t>Yangu</t>
  </si>
  <si>
    <t xml:space="preserve">Jaune doré clair</t>
  </si>
  <si>
    <t xml:space="preserve">Légère de noisette amère</t>
  </si>
  <si>
    <t>id_ajout</t>
  </si>
  <si>
    <t>famille</t>
  </si>
  <si>
    <t>Absinthe</t>
  </si>
  <si>
    <t xml:space="preserve">Alcools forts</t>
  </si>
  <si>
    <t>Absolue</t>
  </si>
  <si>
    <t>Divers</t>
  </si>
  <si>
    <t xml:space="preserve">Absolue de benjoin</t>
  </si>
  <si>
    <t xml:space="preserve">Acides de fruits (AHA)</t>
  </si>
  <si>
    <t xml:space="preserve">Actifs cosmétiques</t>
  </si>
  <si>
    <t xml:space="preserve">Actifs en poudre</t>
  </si>
  <si>
    <t xml:space="preserve">Agar agar</t>
  </si>
  <si>
    <t>Algues</t>
  </si>
  <si>
    <t xml:space="preserve">Alaria esculenta (poudre)</t>
  </si>
  <si>
    <t xml:space="preserve">Alcool 96º (alcool dénaturé)</t>
  </si>
  <si>
    <t xml:space="preserve">Aloé vera (gel)</t>
  </si>
  <si>
    <t xml:space="preserve">Plantes et fleurs</t>
  </si>
  <si>
    <t>Antigorite</t>
  </si>
  <si>
    <t>Argiles</t>
  </si>
  <si>
    <t xml:space="preserve">Argile blanche</t>
  </si>
  <si>
    <t xml:space="preserve">Argile bleue</t>
  </si>
  <si>
    <t xml:space="preserve">Argile caramel</t>
  </si>
  <si>
    <t xml:space="preserve">Argile grise</t>
  </si>
  <si>
    <t xml:space="preserve">Argile jaune</t>
  </si>
  <si>
    <t xml:space="preserve">Argile rose</t>
  </si>
  <si>
    <t xml:space="preserve">Argile rouge</t>
  </si>
  <si>
    <t xml:space="preserve">Argile verte</t>
  </si>
  <si>
    <t xml:space="preserve">Argile violette</t>
  </si>
  <si>
    <t>Armagnac/cognac</t>
  </si>
  <si>
    <t>Attapulgite</t>
  </si>
  <si>
    <t>Bardane</t>
  </si>
  <si>
    <t xml:space="preserve">Biere brune</t>
  </si>
  <si>
    <t>Bières</t>
  </si>
  <si>
    <t xml:space="preserve">Bière blanche</t>
  </si>
  <si>
    <t xml:space="preserve">Bière blonde</t>
  </si>
  <si>
    <t xml:space="preserve">Bière rousse/ambrée</t>
  </si>
  <si>
    <t>Borax</t>
  </si>
  <si>
    <t xml:space="preserve">Brahmi (poudre)</t>
  </si>
  <si>
    <t xml:space="preserve">Brou de noix (poudre)</t>
  </si>
  <si>
    <t xml:space="preserve">Cacao (poudre)</t>
  </si>
  <si>
    <t xml:space="preserve">Café (poudre)</t>
  </si>
  <si>
    <t>Calvados</t>
  </si>
  <si>
    <t xml:space="preserve">Camomille matricaire (poudre)</t>
  </si>
  <si>
    <t>Caramel</t>
  </si>
  <si>
    <t>Sucres</t>
  </si>
  <si>
    <t xml:space="preserve">Cassonnade/sucre de canne</t>
  </si>
  <si>
    <t xml:space="preserve">Cendre de bois</t>
  </si>
  <si>
    <t xml:space="preserve">Centella asiatique (poudre)</t>
  </si>
  <si>
    <t xml:space="preserve">Charbon végétal</t>
  </si>
  <si>
    <t>Colorants</t>
  </si>
  <si>
    <t>Chartreuse</t>
  </si>
  <si>
    <t xml:space="preserve">Chlorelle (poudre)</t>
  </si>
  <si>
    <t>Cires</t>
  </si>
  <si>
    <t xml:space="preserve">Cire florale</t>
  </si>
  <si>
    <t xml:space="preserve">Citrate de sodium</t>
  </si>
  <si>
    <t>Cointreau</t>
  </si>
  <si>
    <t xml:space="preserve">Conservateur autre</t>
  </si>
  <si>
    <t>Conservateurs</t>
  </si>
  <si>
    <t xml:space="preserve">Coques de noix</t>
  </si>
  <si>
    <t>Exfoliants</t>
  </si>
  <si>
    <t>Cosgard</t>
  </si>
  <si>
    <t xml:space="preserve">Cristaux de soude</t>
  </si>
  <si>
    <t xml:space="preserve">Crème fraîche</t>
  </si>
  <si>
    <t xml:space="preserve">Produits laitiers</t>
  </si>
  <si>
    <t>Diatomées</t>
  </si>
  <si>
    <t xml:space="preserve">Dioxyde de titane</t>
  </si>
  <si>
    <t xml:space="preserve">Dipropylène glycol</t>
  </si>
  <si>
    <t xml:space="preserve">Dulse (palmaria palmata)</t>
  </si>
  <si>
    <t>Eau</t>
  </si>
  <si>
    <t xml:space="preserve">Eau de mer</t>
  </si>
  <si>
    <t>Eau-de-vie</t>
  </si>
  <si>
    <t xml:space="preserve">Ecorces d'agrumes</t>
  </si>
  <si>
    <t>Fruits</t>
  </si>
  <si>
    <t xml:space="preserve">Extrait aromatique</t>
  </si>
  <si>
    <t xml:space="preserve">Extraits aromatiques</t>
  </si>
  <si>
    <t xml:space="preserve">Extrait de pépins de pamplemousse (EPP)</t>
  </si>
  <si>
    <t xml:space="preserve">Farine d'amande</t>
  </si>
  <si>
    <t>Farines</t>
  </si>
  <si>
    <t xml:space="preserve">Farine d'amarante</t>
  </si>
  <si>
    <t xml:space="preserve">Farine de blé (amidon)</t>
  </si>
  <si>
    <t xml:space="preserve">Farine de chanvre</t>
  </si>
  <si>
    <t xml:space="preserve">Farine de châtaigne</t>
  </si>
  <si>
    <t xml:space="preserve">Farine de coco</t>
  </si>
  <si>
    <t xml:space="preserve">Farine de graines de lin</t>
  </si>
  <si>
    <t xml:space="preserve">Farine de grand épeautre</t>
  </si>
  <si>
    <t xml:space="preserve">Farine de lentilles</t>
  </si>
  <si>
    <t xml:space="preserve">Farine de lupin</t>
  </si>
  <si>
    <t xml:space="preserve">Farine de manioc (tapioca)</t>
  </si>
  <si>
    <t xml:space="preserve">Farine de maïs</t>
  </si>
  <si>
    <t xml:space="preserve">Farine de millet</t>
  </si>
  <si>
    <t xml:space="preserve">Farine de noisettes</t>
  </si>
  <si>
    <t xml:space="preserve">Farine de noix de pécan</t>
  </si>
  <si>
    <t xml:space="preserve">Farine de patate douce</t>
  </si>
  <si>
    <t xml:space="preserve">Farine de petit épeautre</t>
  </si>
  <si>
    <t xml:space="preserve">Farine de pois cassés</t>
  </si>
  <si>
    <t xml:space="preserve">Farine de pois chiches</t>
  </si>
  <si>
    <t xml:space="preserve">Farine de prosopis (mesquite)</t>
  </si>
  <si>
    <t xml:space="preserve">Farine de quinoa</t>
  </si>
  <si>
    <t xml:space="preserve">Farine de riz</t>
  </si>
  <si>
    <t xml:space="preserve">Farine de sarrasin</t>
  </si>
  <si>
    <t xml:space="preserve">Farine de seigle</t>
  </si>
  <si>
    <t xml:space="preserve">Farine de soja</t>
  </si>
  <si>
    <t xml:space="preserve">Farine de son de riz</t>
  </si>
  <si>
    <t xml:space="preserve">Farine de sorgho</t>
  </si>
  <si>
    <t xml:space="preserve">Farine de teff</t>
  </si>
  <si>
    <t xml:space="preserve">Farine d’avoine (avoine colloïdale)</t>
  </si>
  <si>
    <t xml:space="preserve">Farine d’orge (poudre de feuille d'orge)</t>
  </si>
  <si>
    <t xml:space="preserve">Farine/fécule de maïs</t>
  </si>
  <si>
    <t xml:space="preserve">Farine/fécule de pomme de terre</t>
  </si>
  <si>
    <t xml:space="preserve">Farine/fécule de tapioca</t>
  </si>
  <si>
    <t xml:space="preserve">Farine/fécule d’arrow-root</t>
  </si>
  <si>
    <t>Fenugrec</t>
  </si>
  <si>
    <t xml:space="preserve">Fleurs séchées</t>
  </si>
  <si>
    <t xml:space="preserve">Fromage blanc</t>
  </si>
  <si>
    <t xml:space="preserve">Fromage frais</t>
  </si>
  <si>
    <t xml:space="preserve">Fucus (poudre)</t>
  </si>
  <si>
    <t xml:space="preserve">Gel de chia</t>
  </si>
  <si>
    <t>Céréales</t>
  </si>
  <si>
    <t xml:space="preserve">Gel de lin</t>
  </si>
  <si>
    <t xml:space="preserve">Gelée royale</t>
  </si>
  <si>
    <t>Gin</t>
  </si>
  <si>
    <t xml:space="preserve">Ginkgo biloba (poudre)</t>
  </si>
  <si>
    <t xml:space="preserve">Ginseng brésilien (poudre)</t>
  </si>
  <si>
    <t>Glitters</t>
  </si>
  <si>
    <t>Glycérine</t>
  </si>
  <si>
    <t xml:space="preserve">Goémon noir (ou ascophylle)</t>
  </si>
  <si>
    <t xml:space="preserve">Graines autres</t>
  </si>
  <si>
    <t xml:space="preserve">Graines de lin</t>
  </si>
  <si>
    <t xml:space="preserve">Grand Marnier</t>
  </si>
  <si>
    <t xml:space="preserve">Guarana (poudre)</t>
  </si>
  <si>
    <t xml:space="preserve">Guimauve (poudre)</t>
  </si>
  <si>
    <t>Génépi</t>
  </si>
  <si>
    <t xml:space="preserve">Hibiscus (poudre)</t>
  </si>
  <si>
    <t xml:space="preserve">Inclusions (SÀF ou Melt &amp; Pour)</t>
  </si>
  <si>
    <t>Indigo</t>
  </si>
  <si>
    <t xml:space="preserve">Jus de fruits</t>
  </si>
  <si>
    <t xml:space="preserve">Jus de légumes</t>
  </si>
  <si>
    <t>Légumes</t>
  </si>
  <si>
    <t xml:space="preserve">Kachur sugandhi (poudre)</t>
  </si>
  <si>
    <t xml:space="preserve">Kapoor kachli (poudre)</t>
  </si>
  <si>
    <t>Kirsch</t>
  </si>
  <si>
    <t>Kombucha</t>
  </si>
  <si>
    <t>Kvas</t>
  </si>
  <si>
    <t xml:space="preserve">Kéfir de fruits</t>
  </si>
  <si>
    <t xml:space="preserve">Kéfir de lait</t>
  </si>
  <si>
    <t xml:space="preserve">Lactate de sodium</t>
  </si>
  <si>
    <t>Sels</t>
  </si>
  <si>
    <t xml:space="preserve">Lait d'amande</t>
  </si>
  <si>
    <t xml:space="preserve">Boissons végétales</t>
  </si>
  <si>
    <t xml:space="preserve">Lait d'arachide</t>
  </si>
  <si>
    <t xml:space="preserve">Lait d'avoine</t>
  </si>
  <si>
    <t xml:space="preserve">Lait d'orge</t>
  </si>
  <si>
    <t xml:space="preserve">Lait d'ânesse</t>
  </si>
  <si>
    <t>Laits</t>
  </si>
  <si>
    <t xml:space="preserve">Lait d'épeautre</t>
  </si>
  <si>
    <t xml:space="preserve">Lait de blé</t>
  </si>
  <si>
    <t xml:space="preserve">Lait de brebis</t>
  </si>
  <si>
    <t xml:space="preserve">Lait de bufflonne</t>
  </si>
  <si>
    <t xml:space="preserve">Lait de chamelle/dromadaire</t>
  </si>
  <si>
    <t xml:space="preserve">Lait de chanvre</t>
  </si>
  <si>
    <t xml:space="preserve">Lait de châtaigne</t>
  </si>
  <si>
    <t xml:space="preserve">Lait de chèvre</t>
  </si>
  <si>
    <t xml:space="preserve">Lait de coco</t>
  </si>
  <si>
    <t xml:space="preserve">Lait de jument</t>
  </si>
  <si>
    <t xml:space="preserve">Lait de lupin</t>
  </si>
  <si>
    <t xml:space="preserve">Lait de millet</t>
  </si>
  <si>
    <t xml:space="preserve">Lait de noisette</t>
  </si>
  <si>
    <t xml:space="preserve">Lait de noix de cajou</t>
  </si>
  <si>
    <t xml:space="preserve">Lait de pois</t>
  </si>
  <si>
    <t xml:space="preserve">Lait de quinoa</t>
  </si>
  <si>
    <t xml:space="preserve">Lait de renne</t>
  </si>
  <si>
    <t xml:space="preserve">Lait de riz</t>
  </si>
  <si>
    <t xml:space="preserve">Lait de sarrasin</t>
  </si>
  <si>
    <t xml:space="preserve">Lait de seigle</t>
  </si>
  <si>
    <t xml:space="preserve">Lait de soja</t>
  </si>
  <si>
    <t xml:space="preserve">Lait de sésame</t>
  </si>
  <si>
    <t xml:space="preserve">Lait de tournesol</t>
  </si>
  <si>
    <t xml:space="preserve">Lait de vache</t>
  </si>
  <si>
    <t xml:space="preserve">Lait de yack</t>
  </si>
  <si>
    <t xml:space="preserve">Lait en poudre</t>
  </si>
  <si>
    <t xml:space="preserve">Lait maternel</t>
  </si>
  <si>
    <t xml:space="preserve">Laminaire (laminaria digitata)</t>
  </si>
  <si>
    <t xml:space="preserve">Lithothamne (lithothamnium calcareum)</t>
  </si>
  <si>
    <t>Lécithine</t>
  </si>
  <si>
    <t xml:space="preserve">Maca (extrait de racines)</t>
  </si>
  <si>
    <t xml:space="preserve">Marc de café</t>
  </si>
  <si>
    <t>Menthol</t>
  </si>
  <si>
    <t>Micas</t>
  </si>
  <si>
    <t>Miel</t>
  </si>
  <si>
    <t xml:space="preserve">Moringa (poudre)</t>
  </si>
  <si>
    <t xml:space="preserve">Moutarde blanche</t>
  </si>
  <si>
    <t xml:space="preserve">Multani mitti</t>
  </si>
  <si>
    <t>Mélasse</t>
  </si>
  <si>
    <t>Nacre</t>
  </si>
  <si>
    <t xml:space="preserve">Nagarmotha (souchet d’Asie)</t>
  </si>
  <si>
    <t xml:space="preserve">Neem (poudre)</t>
  </si>
  <si>
    <t xml:space="preserve">Nori (poudre)</t>
  </si>
  <si>
    <t>Ocres</t>
  </si>
  <si>
    <t xml:space="preserve">Orange (poudre)</t>
  </si>
  <si>
    <t xml:space="preserve">Ortie piquante</t>
  </si>
  <si>
    <t>Oxydes</t>
  </si>
  <si>
    <t>Pastis</t>
  </si>
  <si>
    <t>Pavot</t>
  </si>
  <si>
    <t xml:space="preserve">Percarbonate de soude</t>
  </si>
  <si>
    <t xml:space="preserve">Perles de bambou</t>
  </si>
  <si>
    <t xml:space="preserve">Petits suisses</t>
  </si>
  <si>
    <t xml:space="preserve">Phormidium (poudre)</t>
  </si>
  <si>
    <t xml:space="preserve">Pierre d'alun</t>
  </si>
  <si>
    <t xml:space="preserve">Pierre ponce (poudre)</t>
  </si>
  <si>
    <t xml:space="preserve">Pivoine (poudre)</t>
  </si>
  <si>
    <t xml:space="preserve">Poudre d'ortie</t>
  </si>
  <si>
    <t xml:space="preserve">Poudre de fruits</t>
  </si>
  <si>
    <t xml:space="preserve">Poudre de fèves de café</t>
  </si>
  <si>
    <t xml:space="preserve">Poudre de graines de rose musquée</t>
  </si>
  <si>
    <t xml:space="preserve">Poudre de légumes</t>
  </si>
  <si>
    <t xml:space="preserve">Poudre de nacre</t>
  </si>
  <si>
    <t xml:space="preserve">Poudre de noyaux de fruits</t>
  </si>
  <si>
    <t xml:space="preserve">Poudre de rose</t>
  </si>
  <si>
    <t xml:space="preserve">Poudre d’avoine</t>
  </si>
  <si>
    <t xml:space="preserve">Presle (poudre)</t>
  </si>
  <si>
    <t>Propolis</t>
  </si>
  <si>
    <t xml:space="preserve">Propylène glycol</t>
  </si>
  <si>
    <t xml:space="preserve">Protéines de soie</t>
  </si>
  <si>
    <t xml:space="preserve">Provitamine B5 (panthénol)</t>
  </si>
  <si>
    <t xml:space="preserve">Pulpe de coco</t>
  </si>
  <si>
    <t xml:space="preserve">Purée de fruits</t>
  </si>
  <si>
    <t xml:space="preserve">Purée de légumes</t>
  </si>
  <si>
    <t xml:space="preserve">Pépins de fraise</t>
  </si>
  <si>
    <t xml:space="preserve">Pépins de framboise</t>
  </si>
  <si>
    <t xml:space="preserve">Racine d’iris (poudre)</t>
  </si>
  <si>
    <t xml:space="preserve">Reetha (poudre)</t>
  </si>
  <si>
    <t>Rhapontic</t>
  </si>
  <si>
    <t xml:space="preserve">Rhassoul (ghassoul)</t>
  </si>
  <si>
    <t>Rhum</t>
  </si>
  <si>
    <t>Romarin</t>
  </si>
  <si>
    <t xml:space="preserve">Rose de Damas (poudre)</t>
  </si>
  <si>
    <t xml:space="preserve">Réglisse (poudre)</t>
  </si>
  <si>
    <t xml:space="preserve">Sable fin</t>
  </si>
  <si>
    <t>Saponite</t>
  </si>
  <si>
    <t xml:space="preserve">Sauge officinale</t>
  </si>
  <si>
    <t xml:space="preserve">SCI (Sodium Cocoyl Isethionate)</t>
  </si>
  <si>
    <t xml:space="preserve">SCS (Sodium Coco Sulfate)</t>
  </si>
  <si>
    <t xml:space="preserve">Sel d'Epsom</t>
  </si>
  <si>
    <t xml:space="preserve">Sel de la Mer Morte</t>
  </si>
  <si>
    <t xml:space="preserve">Sel marin</t>
  </si>
  <si>
    <t xml:space="preserve">Sel noir d'Hawaï</t>
  </si>
  <si>
    <t xml:space="preserve">Sel rose de l'Himalaya</t>
  </si>
  <si>
    <t xml:space="preserve">Shikakaï (poudre)</t>
  </si>
  <si>
    <t xml:space="preserve">Sidr (poudre)</t>
  </si>
  <si>
    <t xml:space="preserve">Sirop d'agave</t>
  </si>
  <si>
    <t xml:space="preserve">Sirop d'érable</t>
  </si>
  <si>
    <t xml:space="preserve">Sirop de maïs</t>
  </si>
  <si>
    <t xml:space="preserve">Sirop de riz</t>
  </si>
  <si>
    <t xml:space="preserve">Siwak (poudre)</t>
  </si>
  <si>
    <t>Skyr</t>
  </si>
  <si>
    <t xml:space="preserve">Son d'avoine</t>
  </si>
  <si>
    <t xml:space="preserve">Spiruline (poudre)</t>
  </si>
  <si>
    <t xml:space="preserve">Sucre de bouleau</t>
  </si>
  <si>
    <t xml:space="preserve">Sucre de coco</t>
  </si>
  <si>
    <t xml:space="preserve">Sucre de malt</t>
  </si>
  <si>
    <t xml:space="preserve">Sucre de palme/dattier</t>
  </si>
  <si>
    <t xml:space="preserve">Sucre de raisin</t>
  </si>
  <si>
    <t xml:space="preserve">Sucre d’érable</t>
  </si>
  <si>
    <t xml:space="preserve">Sucre en poudre</t>
  </si>
  <si>
    <t xml:space="preserve">Sève de bambou (poudre)</t>
  </si>
  <si>
    <t>Talc</t>
  </si>
  <si>
    <t>Tequila</t>
  </si>
  <si>
    <t xml:space="preserve">Terre de Sommières</t>
  </si>
  <si>
    <t xml:space="preserve">Thé blanc</t>
  </si>
  <si>
    <t xml:space="preserve">Thé matcha (poudre)</t>
  </si>
  <si>
    <t xml:space="preserve">Thé noir</t>
  </si>
  <si>
    <t xml:space="preserve">Thé vert (poudre)</t>
  </si>
  <si>
    <t xml:space="preserve">Triple Sec</t>
  </si>
  <si>
    <t xml:space="preserve">Tulsi (poudre)</t>
  </si>
  <si>
    <t xml:space="preserve">Tépezcohuite (poudre)</t>
  </si>
  <si>
    <t xml:space="preserve">Ulva lactuca (laitue de mer) (poudre)</t>
  </si>
  <si>
    <t xml:space="preserve">Urucum en poudre</t>
  </si>
  <si>
    <t>Urée</t>
  </si>
  <si>
    <t xml:space="preserve">Vin blanc</t>
  </si>
  <si>
    <t>Vin</t>
  </si>
  <si>
    <t xml:space="preserve">Vin rosé</t>
  </si>
  <si>
    <t xml:space="preserve">Vin rouge</t>
  </si>
  <si>
    <t xml:space="preserve">Vitamine E</t>
  </si>
  <si>
    <t>Vodka</t>
  </si>
  <si>
    <t xml:space="preserve">Wakamé (poudre)</t>
  </si>
  <si>
    <t>Whisky</t>
  </si>
  <si>
    <t>Yaourts</t>
  </si>
  <si>
    <t xml:space="preserve">Œuf/Jaune d'œuf</t>
  </si>
  <si>
    <t>id_senteur</t>
  </si>
  <si>
    <t>nom_latin</t>
  </si>
  <si>
    <t>remarque</t>
  </si>
  <si>
    <t>Ajowan</t>
  </si>
  <si>
    <t xml:space="preserve">Trachyspermum ammi</t>
  </si>
  <si>
    <t xml:space="preserve">Antifongique et antiparasitaire, antiviral et stimulant immunitaire, antibactérien à très large spectre et à action puissante, tonique et aphrodisiaque, antalgique percutané (atténue la sensation de douleur), carminatif, antinauséeux, facilite l’élimination des gaz.
Dermocaustique (irritant cutané) : pas de bain ni d’application pure sur la peau.
À utiliser à faibles doses et de manière limitée dans le temps.
Déconseillée aux femmes enceintes et aux enfants de moins de 6 ans.</t>
  </si>
  <si>
    <t xml:space="preserve">Amande amère</t>
  </si>
  <si>
    <t xml:space="preserve">Prunus armeniaca</t>
  </si>
  <si>
    <t>Amyris</t>
  </si>
  <si>
    <t xml:space="preserve">Amyris balsamifera</t>
  </si>
  <si>
    <t xml:space="preserve">Décongestionnant lymphatique et veineux, circulatoire, cardiotonique, relaxant et positivant.</t>
  </si>
  <si>
    <t>Aneth</t>
  </si>
  <si>
    <t xml:space="preserve">Anethum graveolens</t>
  </si>
  <si>
    <t xml:space="preserve">Anticatarrhal, mucolytique, décongestionne les poumons, cholagogue, cholérétique (stimule les fonctions du foie et du pancréas), eupeptique (facilite la digestion et l’élimination des gaz), diurétique, anti-inflammatoire rénal, antispasmodique, favorise les règles, a une action anticoagulante modérée.
Huile essentielle neurotoxique et abortif très puissante.
Déconseillée aux femmes enceintes, bébés, enfants, sujets épileptiques et personnes âgées.</t>
  </si>
  <si>
    <t>Angélique</t>
  </si>
  <si>
    <t xml:space="preserve">Action tonique sur la digestion, anxiolytique, calmante et cortison-like. Elle est parfois utilisée pour lutter contre certaines addictions ou dépendances. Ne pas utiliser chez les personnes hémophiles, souffrant de problèmes rénaux, prenant des anticoagulants, des antiagrégants plaquettaires ou de l'aspirine. Photosensibilisante, ne pas s’exposer au soleil après application, risque de réaction allergique cutanée. Déconseillée aux femmes enceintes et allaitantes et aux enfants de moins de 6 ans.</t>
  </si>
  <si>
    <t xml:space="preserve">Anis vert</t>
  </si>
  <si>
    <t xml:space="preserve">Pimpinella anisum</t>
  </si>
  <si>
    <t xml:space="preserve">Hormon-like (galactogène, facilite la délivrance), antispasmodique, antalgique, carminatif, stomachique, harmonisant des organes génitaux féminins, antiseptique et bactéricide. Déconseillée aux hommes, aux femmes enceintes et aux enfants de moins de 6 ans.</t>
  </si>
  <si>
    <t xml:space="preserve">Basilic tropical</t>
  </si>
  <si>
    <t xml:space="preserve">Ocimum basilicum var. basilicum</t>
  </si>
  <si>
    <t xml:space="preserve">Antispasmodique puissant, revigorant et vitalisant, tonique du système nerveux, tonique digestif, anti-inflammatoire, antidouleur, antiviral puissant.
Huile très puissante, ne pas utiliser pure en application sur la peau, diluer fortement dans une huile végétale.
Déconseillée aux femmes enceintes et aux enfants de moins de 6 ans et l’usage par voie orale.
</t>
  </si>
  <si>
    <t xml:space="preserve">Benjoin de Siam</t>
  </si>
  <si>
    <t xml:space="preserve">stirax tonkinensis</t>
  </si>
  <si>
    <t xml:space="preserve">Antibactérien et cicatrisant cutané, adoucissant, hydratant et tonifiant cutané, rubéfiant (réchauffe), anti-inflammatoire pulmonaire et articulaire, antiseptique pulmonaire, expectorant, anticatarrhal, tonique et stimulant général, diurétique et réconfortant.</t>
  </si>
  <si>
    <t>Bergamote</t>
  </si>
  <si>
    <t xml:space="preserve">Citrus bergamia</t>
  </si>
  <si>
    <t xml:space="preserve">Purifiant, antiseptique, régénérant cutané, sédatif et calmant, antispasmodique, carminatif, digestif, laxatif et vermifuge.
Stimulant, décongestionnant veineux et lymphatique, antiseptique, diurétique et anti-inflammatoire.
Très photosensibilisante, ne pas s’exposer au soleil après application, risque de réaction allergique cutanée.</t>
  </si>
  <si>
    <t xml:space="preserve">Bois de Gaïac</t>
  </si>
  <si>
    <t xml:space="preserve">Bulnesia sarmienti</t>
  </si>
  <si>
    <t xml:space="preserve">Stimulant, décongestionnant veineux et lymphatique, antiseptique, diurétique et anti-inflammatoire.</t>
  </si>
  <si>
    <t xml:space="preserve">Bois de Hô</t>
  </si>
  <si>
    <t xml:space="preserve">Cinnamomum camphora sb linalol</t>
  </si>
  <si>
    <t xml:space="preserve">Antibactérien et anti-infectieux puissants, antiviral et stimulant immunitaire, fongicide, antiparasitaire, aphrodisiaque, tonique sexuel, analgésique doux, régénérateur tissulaire.
Déconseillée pendant les 3 premiers mois de grossesse.</t>
  </si>
  <si>
    <t xml:space="preserve">Bois de rose</t>
  </si>
  <si>
    <t xml:space="preserve">Aniba rosaeodora</t>
  </si>
  <si>
    <t xml:space="preserve">Puissant régénérateur tissulaire, adoucissant, antiseptique, astringent, antibactérien, antifongique, antiviral et raffermi des tissus.
Conseillée pour les problèmes de peau comme l’acné, la peau très grasse, les mycoses et les parasitoses.</t>
  </si>
  <si>
    <t xml:space="preserve">Bois de Santal</t>
  </si>
  <si>
    <t xml:space="preserve">Santalum Album</t>
  </si>
  <si>
    <t xml:space="preserve">Décongestionnant lymphatique et veineux, antiseptique pulmonaire, génital et urinaire, tonique cardiaque, tonique et aphrodisiaque, expectorant, calmant nerveux, sédatif, action antidépressive, équilibrant, diurétique, antalgique, régénérant cutané, revitalisant tissulaire et antispasmodique.
À utiliser avec précaution et sur une courte durée.</t>
  </si>
  <si>
    <t xml:space="preserve">Bouleau noir</t>
  </si>
  <si>
    <t xml:space="preserve">Betula nigra</t>
  </si>
  <si>
    <t xml:space="preserve">Antalgique, antispasmodique, antirhumatismal, stimulant du foie, antitussif, chauffant musculaire.
Dermocaustique, application possible pour les formes concentrées.
Ne pas utiliser en interne.
Déconseillée aux femmes enceintes et allaitantes et aux enfants de moins de 6 ans.</t>
  </si>
  <si>
    <t>Cade</t>
  </si>
  <si>
    <t xml:space="preserve">Juniperus oxycedrus</t>
  </si>
  <si>
    <t xml:space="preserve">Parasiticide, antiseptique, régulation de l’équilibre du cuir chevelu, vermifuge.
Déconseillée pendant les 3 premiers mois de grossesse.</t>
  </si>
  <si>
    <t>Cajeput</t>
  </si>
  <si>
    <t xml:space="preserve">Melaleuca cajuputii</t>
  </si>
  <si>
    <t xml:space="preserve">Antiseptique général puissant (pulmonaire, intestinal, urinaire), antinévralgique, stimulant et revigorant, expectorant, anticatarrhal, vermifuge, antispasmodique et décongestionnant veineux.
Sédatif, calmant puissant du système nerveux central, antispasmodique puissant, antalgique et pré-anesthésiante, anti-inflammatoire, antiparasitaire, carminatif, cholagogue, antiprurigineux (calme les démangeaisons) et anti-allergique.
Déconseillée pendant les 3 premiers mois de grossesse.</t>
  </si>
  <si>
    <t xml:space="preserve">Camomille noble</t>
  </si>
  <si>
    <t xml:space="preserve">Anthemis nobilis L. ssp. chamaemelum nobile</t>
  </si>
  <si>
    <t xml:space="preserve">Sédatif, calmant puissant du système nerveux central, antispasmodique puissant, antalgique et pré-anesthésiante, anti-inflammatoire, antiparasitaire, carminatif, cholagogue, antiprurigineux (calme les démangeaisons) et anti-allergique.
Déconseillée pendant les 3 premiers mois de grossesse.</t>
  </si>
  <si>
    <t xml:space="preserve">Cannelle de Chine (écorce)</t>
  </si>
  <si>
    <t xml:space="preserve">Cinnamomum verum</t>
  </si>
  <si>
    <t xml:space="preserve">Antibactérien très puissant à large spectre, antiviral et stimulant immunitaire, fongicide, parasiticide, antifermentaire, tonique utérin et emménagogue (provoque et régularise les règles), stimulant respiratoire et nerveux, hyperémiant, anticoagulante, fluidifiant sanguin.
Dermocaustique, usage par voie externe.Déconseillée aux femmes enceintes et aux enfants de moins de 6 ans pas d’usage prolongé (&gt; 1 mois).</t>
  </si>
  <si>
    <t xml:space="preserve">Cannelle feuille</t>
  </si>
  <si>
    <t xml:space="preserve">Cinnamomum zeylanicum</t>
  </si>
  <si>
    <t xml:space="preserve">Antiseptique, anti-infectieux, antifongique, antiviral antiparasitaire, antifermentaire, antibactérien à très large spectre et à action puissante, tonique et stimulant général, aphrodisiaque, emménagogue (provoque et régularise les règles).
Dermocaustique, à utiliser systématiquement diluée en usage externe, au maximum à 20%, dans une huile végétale.
Déconseillée aux femmes enceintes et allaitantes et aux enfants de moins de 6 ans.
À n’utiliser que sur une période courte (maximum 7 jours).</t>
  </si>
  <si>
    <t>Cardamome</t>
  </si>
  <si>
    <t xml:space="preserve">Elletaria cardamomum</t>
  </si>
  <si>
    <t xml:space="preserve">Stomachique, carminatif efficace, facilite l’élimination des gaz, anticatarrhal, expectorant puissant, anti-infectieux et antibactérien de manière variable, tonique et stimulant, aphrodisiaque.
À utiliser sur une courte période.</t>
  </si>
  <si>
    <t>Carotte</t>
  </si>
  <si>
    <t xml:space="preserve">Daucus carota (graines)</t>
  </si>
  <si>
    <t xml:space="preserve">Régénérant hépatocellulaire (cellules du foie), hypocholestérolémiant (fait baisser le taux de cholestérol), détoxifiant, drainant, dépuratif hépato-rénale (foie et reins), revitalisant, régénérant, antiride cutané puissant, tonique cutané, cicatrisant, désclérosant, tonique général, hypertensif.
Déconseillée aux femmes enceintes.</t>
  </si>
  <si>
    <t>Carvi</t>
  </si>
  <si>
    <t xml:space="preserve">Carum carvi</t>
  </si>
  <si>
    <t xml:space="preserve">Mucolytique, cholagogue (facilite l’évacuation de la bile de la vésicule biliaire vers l’intestin), cholérétique (stimule la sécrétion de bile par le foie ), apéritif, digestif, favorise l’élimination des spasmes, des gaz et des parasites.
Ne pas utiliser pendant la grossesse, chez les très jeunes enfants et les sujets présentant un terrain épileptique (neurotoxique), risque neurotoxique et abortif au-delà des doses physiologiques.</t>
  </si>
  <si>
    <t xml:space="preserve">Ciste ladanifère</t>
  </si>
  <si>
    <t xml:space="preserve">Cistus ladaniferus</t>
  </si>
  <si>
    <t xml:space="preserve">Antiviral, anti-infectieux, antibactérien, immunostimulant, antihémorragique, régulateur du système nerveux, cicatrisant, astringent et tonifiant cutané.
Ne pas appliquer d’HE de ciste pure sur une plaie importante, faire attention aux interactions avec les traitements médicamenteux aux anticoagulants.
Interdite aux femmes enceintes et allaitantes, supervision médicale impérative pour un usage chez les enfants.</t>
  </si>
  <si>
    <t>Citron</t>
  </si>
  <si>
    <t xml:space="preserve">Citrus limonum</t>
  </si>
  <si>
    <t xml:space="preserve">Renforçateur des immunités naturelles, régulateur des métabolismes, tonique du système nerveux, antiseptique général et bactéricide, antiviral, tonique digestif, carminatif, dépuratif général, vitamine p-like (action sur la microcirculation, diminution de la perméabilité des capillaires et augmentation de leur résistance), fluidifiant sanguin, maintien de la jeunesse tissulaire.
Photosensibilisante, ne pas s’exposer au soleil après application, risque de réaction allergique cutanée.
Dermocaustique, à utiliser diluée pour les peaux sensibles en usage externe, au maximum à 20%, dans une huile végétale.
Déconseillée pendant les 3 premiers mois de grossesse.</t>
  </si>
  <si>
    <t xml:space="preserve">Citronnelle de Java</t>
  </si>
  <si>
    <t xml:space="preserve">Cymbopogon winterianus Jowitt citronnellaliferum</t>
  </si>
  <si>
    <t xml:space="preserve">Anti-inflammatoire percutané puissant, antimoustique, antifongique, déodorant et antiseptique atmosphérique et antibactérien moyen.
Dermocaustique, à utiliser diluée pour les peaux sensibles en usage externe, au maximum à 20%, dans une huile végétale.
Déconseillée pendant les 3 premiers mois de grossesse.</t>
  </si>
  <si>
    <t xml:space="preserve">Clou de girofle</t>
  </si>
  <si>
    <t xml:space="preserve">Eugenia caryophyllata</t>
  </si>
  <si>
    <t xml:space="preserve">Anti-infectieux, antibactérien puissant à large spectre, antiviral, antifongique, antiparasitaire, antiseptique, stimulant général, neurotonique, utérotonique, hypertensif, aphrodisiaque léger, cautérisant cutané et pulpaire, stomachique, carminatif, stimulant immunitaire et anesthésiant.
Dermocaustique, à utiliser systématiquement diluée en usage externe, au maximum à 20%, dans une huile végétale.
Déconseillée aux femmes enceintes, allaitantes et aux enfants de moins de 6 ans.</t>
  </si>
  <si>
    <t xml:space="preserve">Combawa (feuille)</t>
  </si>
  <si>
    <t xml:space="preserve">Citrus hystrix</t>
  </si>
  <si>
    <t xml:space="preserve">Anti-inflammatoire, antirhumatismal, sédatif, tonique digestif, décongestionnant hépatique.
Déconseillée pendant les 3 premiers mois de grossesse.</t>
  </si>
  <si>
    <t>Copahu</t>
  </si>
  <si>
    <t xml:space="preserve">Copaifera officinalis</t>
  </si>
  <si>
    <t xml:space="preserve">Anti-inflammatoire très puissant, cicatrisant, antidouleur, stimulant de la circulation sanguine, tonique général, énergisant, stimulant des glandes surrénales et antiseptique.
À utiliser avec précaution et sur une courte période.</t>
  </si>
  <si>
    <t>Coriandre</t>
  </si>
  <si>
    <t xml:space="preserve">Coriandrum sativum</t>
  </si>
  <si>
    <t xml:space="preserve">Tonique digestif, antibactérien, antiviral, antifongique, antidouleur, tonique général et euphorisant à forte dose.
Déconseillée pendant les 3 premiers mois de grossesse.</t>
  </si>
  <si>
    <t xml:space="preserve">Cryptomeria japonica</t>
  </si>
  <si>
    <t xml:space="preserve">Antibactérien (actif notamment sur les bactéries aériennes), insecticide, répulsif insectes (notamment des termites), larvicide, décontracturant musculaire et antidouleur.</t>
  </si>
  <si>
    <t xml:space="preserve">Cyprès bleu</t>
  </si>
  <si>
    <t xml:space="preserve">Callitris intratropica</t>
  </si>
  <si>
    <t xml:space="preserve">Anti-inflammatoire, calmant et adoucissant pour la peau, répulsif des insectes, colorant naturel bleu.
Note de fond douce et boisée pour eaux de toilette et cosmétiques.
Déconseillée aux femmes enceintes.</t>
  </si>
  <si>
    <t xml:space="preserve">Cyprès toujours vert</t>
  </si>
  <si>
    <t xml:space="preserve">Cupressus sempervirens</t>
  </si>
  <si>
    <t xml:space="preserve">Décongestionnant veineux, lymphatique, prostatique, rééquilibrant nerveux général, antitussif, antispasmodique, régulateur neurovégétatif, régulateur sudorifique, oestrogen-like, prévient le durcissement artériel et tonifiant vasculaire.</t>
  </si>
  <si>
    <t xml:space="preserve">Cèdre d'Atlas</t>
  </si>
  <si>
    <t xml:space="preserve">Cedrus atlantica</t>
  </si>
  <si>
    <t xml:space="preserve">Lymphotonique drainant puissant, diurétique, lipolytique puissant (élimination des graisses), régénérateur artériel, cicatrisant, astringent, tonique du cuir chevelu, antifongique, antimoustique et antimite, décongestionnant et antiseptique des voies respiratoires, relaxant et réconfortant, pouvoir abortif et neurotoxique à long terme.
Déconseillée aux femmes enceintes et aux jeunes enfants.</t>
  </si>
  <si>
    <t xml:space="preserve">Cèdre de l'Himalaya</t>
  </si>
  <si>
    <t xml:space="preserve">Cedrus deodora</t>
  </si>
  <si>
    <t xml:space="preserve">Lymphotonique drainant puissant, diurétique, lipolytique puissant (élimination des graisses), régénérateur artériel, cicatrisant, astringent, tonique du cuir chevelu, antifongique, antimoustique et antimite, relaxant et réconfortant.
Pouvoir abortif et neurotoxique à long terme.
Déconseillée aux femmes enceintes et aux jeunes enfants, possibilité d’irritation cutanée si appliquée pure.</t>
  </si>
  <si>
    <t xml:space="preserve">Cèdre de Virginie</t>
  </si>
  <si>
    <t xml:space="preserve">Juniperus virginiana</t>
  </si>
  <si>
    <t xml:space="preserve">Décongestionnant veineux, phlébotonique, lymphotonique, antiseptique génital et urinaire, fongicide, antiputride, expectorant et stimulant.
Possibilité d’irritation cutanée si appliquée pure.</t>
  </si>
  <si>
    <t xml:space="preserve">Céleri (graines)</t>
  </si>
  <si>
    <t xml:space="preserve">Apium graveolens (graines)</t>
  </si>
  <si>
    <t xml:space="preserve">Tonique digestif, eupeptique, apéritif (stimule l’appétit et la digestion), stimulant et drainant hépatocytaire et rénal (stimule, draine et décongestionne le foie et les reins), sédatif, calmant, antipigmentaire (efface les tâches cutanées) et décongestionnant veineux.
Photosensibilisante, ne pas s’exposer au soleil après application, risque de réaction allergique cutanée.
Déconseillée pendant les 3 premiers mois de grossesse et chez les enfants de moins de 6 ans.</t>
  </si>
  <si>
    <t>Elémi</t>
  </si>
  <si>
    <t xml:space="preserve">Canarium luzonicum</t>
  </si>
  <si>
    <t xml:space="preserve">Antiseptique et balsamique sur le système respiratoire, cicatrisante, anti-amibienne. On peut l´appliquer sur la peau pour ses vertus réparatrices (ulcères, plaies...). Energétisante, elle rectifie la posture, assouplissant la colonne vertébrale et apaisant les raideurs et blocages ressentis au niveau de la nuque. Risque d'allergie (limonène et eugénol). Déconseillée aux femmes enceintes et allaitantes et aux enfants de moins de 6 ans.</t>
  </si>
  <si>
    <t xml:space="preserve">Encens ou oliban</t>
  </si>
  <si>
    <t xml:space="preserve">Boswellia carterii birdw</t>
  </si>
  <si>
    <t xml:space="preserve">Anticatarrhal, expectorant, cicatrisant, stimulant des défenses immunitaires, antidépressif, antitumoral (encore à l’état de recherche).
Déconseillée pendant les 3 premiers mois de grossesse.</t>
  </si>
  <si>
    <t xml:space="preserve">Epinette noire</t>
  </si>
  <si>
    <t xml:space="preserve">Picea mariana</t>
  </si>
  <si>
    <t xml:space="preserve">Tonique général, neurotonique, cortison-like, anti-inflammatoire, antifongique, antibactérien, antispasmodique, antiseptique aérien, antitussif et expectorant.
Déconseillée pendant les 3 premiers mois de grossesse.</t>
  </si>
  <si>
    <t xml:space="preserve">Essences aromatiques</t>
  </si>
  <si>
    <t>Estragon</t>
  </si>
  <si>
    <t xml:space="preserve">Artemisia dracunculus</t>
  </si>
  <si>
    <t xml:space="preserve">Tonique digestif général (stomchique, apéritif, carminatif, antispasmodique puissant, action particulière contre le hoquet, anti-inflammatoire, antiviral, antiallergique, antifermentaire et tonique mental.
À éviter pendant la grossesse.
Pas d’usage prolongé sans l’avis d’un aromathérapeute.
Dermocaustique, à utiliser systématiquement diluée en usage externe, au maximum à 20%, dans une huile végétale.</t>
  </si>
  <si>
    <t xml:space="preserve">Eucalyptus citronné</t>
  </si>
  <si>
    <t xml:space="preserve">Eucalyptus citriodora</t>
  </si>
  <si>
    <t xml:space="preserve">Anti-inflammatoire et antirhumatismal puissant, antalgique remarquable, apaisant cutané, calmant, sédatif, hypotensive, antispasmodique efficace, fongicide et répulsif des moustiques.
Déconseillée pendant les 3 premiers mois de grossesse.</t>
  </si>
  <si>
    <t xml:space="preserve">Eucalyptus globulus</t>
  </si>
  <si>
    <t xml:space="preserve">Anticatarrhal, expectorant et mucolytique, antiseptique, antimicrobien et antibactérien, antifongique, antiviral, positivant et rafraîchissant.
Ne pas ingérer.
Déconseillée aux femmes enceintes et aux enfants en bas âge.</t>
  </si>
  <si>
    <t xml:space="preserve">Eucalyptus mentholé</t>
  </si>
  <si>
    <t xml:space="preserve">Eucalyptus dives</t>
  </si>
  <si>
    <t xml:space="preserve">Anticatarrhal et mucolytique, lipolytique (destruction des graisses), drainant hépatique et rénal, diurétique, antibactérien, néphroprotecteur, contient des cétones, neurotoxique et abortif à fortes doses.
Interdite aux femmes enceintes, aux sujets épileptiques et aux jeunes enfants.
Usage interne réservé aux thérapeutes.
Pas d’utilisation prolongée sans l’avis d’un aromathérapeute, sensibilisation allergique possible.</t>
  </si>
  <si>
    <t xml:space="preserve">Eucalyptus radiata</t>
  </si>
  <si>
    <t xml:space="preserve">Anti-infectieux, antibactérien, antiviral, anticatarrhal, expectorant, anti-inflammatoire. Toxicité : à doses thérapeutiques aucun risque toxique, à doses supérieures aux doses thérapeutiques : troubles gastriques, baisse de la tension artérielle et de la température corporelle, à fortes doses (ingestion de plus de 10 ml d’huile essentielle) : neurotoxique et épileptogène, dl 50 : 1,7 ml/kg, chez le rat. Déconseillée pendant les 3 premiers mois de grossesse.</t>
  </si>
  <si>
    <t xml:space="preserve">Eucalyptus smithii</t>
  </si>
  <si>
    <t xml:space="preserve">Anti-infectieux, antibactérien, antiviral, stimulant immunitaire, anticatarrhal, expectorant, antitussif, dégage le nez et les bronches, anti-inflammatoire. Utilisation en interne à éviter car potentiellement dangereuse, comme pour toutes les huiles essentielles d’eucalyptus, selon les quantités. Déconseillée pendant les 3 premiers mois de grossesse.</t>
  </si>
  <si>
    <t xml:space="preserve">Eucalyptus à cryptone</t>
  </si>
  <si>
    <t xml:space="preserve">Eucalyptus polybractea</t>
  </si>
  <si>
    <t xml:space="preserve">Anticatarrhal, expectorant, mucolytique, antiviral, anti-infectieux, antibactérien, antiamibien, antipaludéen, anti-inflammatoire, décongestionnant prostatique, neurotoxique et abortif.
Déconseillée aux femmes enceintes et aux enfants en bas âge.</t>
  </si>
  <si>
    <t xml:space="preserve">Fenouil (graine)</t>
  </si>
  <si>
    <t xml:space="preserve">Foeniculum vulgare var dulce</t>
  </si>
  <si>
    <t xml:space="preserve">Antimicrobien, possède une activité in vitro similaire aux huiles essentielles de tea tree, de lemongrass et d’origan sur les souches bactériennes d’acinetobacter baumannii, d’escherichia coli, de pseudomonas aeruginosa, de serratia marcescens, de staphylococcus aureus et staphylococcus epidermidis. Actif contre le champignon candida albicans, légère action antivirale, harmonise et équilibre le système immunitaire. Sa concentration en 1-8 cinéole lui offre des propriétés intéressantes sur la sphère respiratoire : expectorant, décongestionnante. Anti-inflammatoire, elle inhibe la sécrétion des molécules responsables de l’inflammation : calme les œdèmes et les rougeurs. Antalgique, elle apporte un soulagement aux douleurs externes, son odeur très fleurie rend son utilisation très agréable et plus facile que l’huile essentielle de tea tree elle est, en général, très bien acceptée par la peau mais chez les sujets hypersensibles il peut être nécessaire de diluer l’huile essentielle de fragonia dans une huile végétale avant l’application sur la peau.</t>
  </si>
  <si>
    <t>Fragonia</t>
  </si>
  <si>
    <t xml:space="preserve">Agonis fragrans</t>
  </si>
  <si>
    <t xml:space="preserve">Antimicrobienne, l'huile essentielle de fragonia possède une activité in vitro similaire aux huiles essentielles de tea tree, de lemongrass et d'origan sur les souches bactériennes d'acinetobacter baumannii, d'escherichia coli, de pseudomonas aeruginosa, de serratia marcescens, de staphylococcus aureus et staphylococcus epidermidis. Active contre le champignon candida albicans. Légère action antivirale, harmonise et équilibre le système immunitaire. Sa concentration en 1-8 cinéole lui offre des propriétés intéressantes sur la sphère respiratoire : expectorante, décongestionnante. Anti-inflammatoire, elle inhibe la sécrétion des molécules responsables de l'inflammation : calme les œdèmes et les rougeurs. Antalgique, elle apporte un soulagement aux douleurs externes. Son odeur très fleurie rend son utilisation très agréable et plus facile que l'huile essentielle de tea tree, huile essentielle de fragonia est en général très bien acceptée par la peau mais chez les sujets hypersensibles il peut être nécessaire de diluer l'huile essentielle de fragonia dans une huile végétale avant l'application sur la peau.</t>
  </si>
  <si>
    <t xml:space="preserve">Fragrances cosmétiques</t>
  </si>
  <si>
    <t>Galbanum</t>
  </si>
  <si>
    <t xml:space="preserve">Ferula galbaniflua</t>
  </si>
  <si>
    <t xml:space="preserve">Tonique, stimulant, emménagogue (provoque et régularise les règles), anti-infectieux, action générale sur le rein, décongestionnant puissant, antalgique, expectorant, antispasmodique léger.
Note olfactive verte et terreuse très singulière.
Eviter le contact avec les yeux et la peau.
Déconseillée pendant les 3 premiers mois de grossesse.</t>
  </si>
  <si>
    <t xml:space="preserve">Gaulthérie couchée</t>
  </si>
  <si>
    <t xml:space="preserve">Gaultheria procumbens</t>
  </si>
  <si>
    <t xml:space="preserve">Antidouleur, anti-inflammatoire, antirhumatismal, antispasmodique, régénérant du foie, vasodilatateur, hypotenseur, diurétique, stimulant puissant du système sympathique.
Irritante à l’état pure : diluer à 20 % dans une huile végétale.
Attention en cas de sensibilité connue au glaucome aigu.
Déconseillée aux femmes enceintes et aux enfants de moins de 6 ans.</t>
  </si>
  <si>
    <t xml:space="preserve">Genièvre baie</t>
  </si>
  <si>
    <t xml:space="preserve">Juniperus communis</t>
  </si>
  <si>
    <t xml:space="preserve">Antirhumatismal (favorise l’excrétion des toxines rénales et de l’acide urique), antalgique (calme la douleur), anti-inflammatoire (réduit les inflammations), diurétique (élimine les problèmes de rétention d’eau, favorise l’amincissement), antiseptique digestif, urinaire, sanguin et pulmonaire, anticatarrhal et expectorant.
À utiliser diluée et éviter en cas de grossesse et de maladie rénale.</t>
  </si>
  <si>
    <t>Gingembre</t>
  </si>
  <si>
    <t xml:space="preserve">Zinziber officinalis roscoe</t>
  </si>
  <si>
    <t xml:space="preserve">Stimulant, tonique sexuel, aphrodisiaque puissant, apéritif, stomachique, carminatif, tonique du système digestif, remarquable laxatif léger, antalgique, anti-inflammatoire, antitussif et antispasmodique.</t>
  </si>
  <si>
    <t xml:space="preserve">Girofle (clou)</t>
  </si>
  <si>
    <t xml:space="preserve">Eugenia caryophyllus Sprengel</t>
  </si>
  <si>
    <t xml:space="preserve">Anti-infectieux, antibactérien puissant à large spectre, antiviral, antifongique, antiparasitaire, antiseptique, stimulant général, neurotonique, utérotonique, hypertensif, aphrodisiaque léger, cautérisant cutané et pulpaire, stomachique, carminatif, stimulant immunitaire, anesthésiant.
Dermocaustique, à utiliser systématiquement diluée en usage externe, au maximum à 20%, dans une huile végétale.
Ne pas utiliser pure en application sur la peau, diluer fortement dans une huile végétale et éviter l’usage par voie orale.
Interdite aux femmes enceintes et allaitantes et aux enfants de moins de 6 ans.</t>
  </si>
  <si>
    <t xml:space="preserve">Géranium bourbon</t>
  </si>
  <si>
    <t xml:space="preserve">Pelargonium X asperum var. Bourbon</t>
  </si>
  <si>
    <t xml:space="preserve">Antispasmodique, relaxant, tonique, astringent, hémostatique, anti-inflammatoire, lymphotonique, phlébotonique (stimule la circulation veineuse et lymphatique), hépatostimulant, pancréatostimulant (stimule les fonctions du foie et du pancréas), anti-infectieux, antibactérien, antifongique, antidiabétique.
Déconseillée pendant les 3 premiers mois de grossesse.</t>
  </si>
  <si>
    <t xml:space="preserve">Géranium rosat</t>
  </si>
  <si>
    <t xml:space="preserve">Pelargonium X asperum var Egypt</t>
  </si>
  <si>
    <t xml:space="preserve">Antifongique puissant, antibactérien efficace, hémostatique remarquable et cicatrisant, favorise l’assimilation des sucres et amidons, tonique astringent cutané, antalgique et anti-inflammatoire, éloigne les moustiques.
Déconseillée pendant les 3 premiers mois de grossesse.
</t>
  </si>
  <si>
    <t xml:space="preserve">Helichrysum gymnocephalum</t>
  </si>
  <si>
    <t xml:space="preserve">Hélichryse Gymnocephalum</t>
  </si>
  <si>
    <t xml:space="preserve">Anti-infectieux, antibactérien, antiviral, anticatarrhal, expectorant, respiratoire remarquable et parfaitement toléré, stimule les défenses immunitaires, recentre les énergies du corps, énergisant.</t>
  </si>
  <si>
    <t xml:space="preserve">Huile parfumée</t>
  </si>
  <si>
    <t>Hydrolats</t>
  </si>
  <si>
    <t xml:space="preserve">Hysope couchée</t>
  </si>
  <si>
    <t xml:space="preserve">Hyssopus officinalis var. decumbens</t>
  </si>
  <si>
    <t xml:space="preserve">Anticatarrhal, expectorant, anti-asthmatique remarquable, antiviral puissant, tonique et stimulant, sympathicotonique (action au niveau du système nerveux sympathique).
Déconseillée pendant les 3 premiers mois de grossesse.</t>
  </si>
  <si>
    <t xml:space="preserve">Hélichryse italienne</t>
  </si>
  <si>
    <t xml:space="preserve">Helichrysum italicum G. Don ssp serotinum</t>
  </si>
  <si>
    <t xml:space="preserve">Antihématome très puissant, anticoagulant, antiphlébitique (tonifiant de la circulation sanguine), anticatarrhal, mucolityque (dégage les bronches), régule le taux de cholestérol (régularise les apo a et b), cicatrisant et astringent cutané, desclérosant, antispasmodique et anti-inflammatoire, stimule la régénération des cellules du foie.
Neurotoxique pour les sujets sensibles au cétones.
Attention, ne pas donner aux personnes déjà en traitement avec des produits liquéfiant du sang.</t>
  </si>
  <si>
    <t xml:space="preserve">Inule odorante</t>
  </si>
  <si>
    <t xml:space="preserve">Inula graveolens</t>
  </si>
  <si>
    <t xml:space="preserve">Mucolytique et anticatarrhal très puissant, régulateur et tonique cardiaque, anti-inflammatoire, antispasmodique,
antitussif, antibactérien, antiseptique.
Voie interne réservée au thérapeute, sensibilisation de type allergique possible, HE très puissante, à utiliser avec modération.
Déconseillée aux femmes enceintes et allaitantes.</t>
  </si>
  <si>
    <t>Katrafay</t>
  </si>
  <si>
    <t xml:space="preserve">Cedrelopsis grevei</t>
  </si>
  <si>
    <t xml:space="preserve">Tonique et fortifiant, anti-inflammatoire, antalgique (antidouleur).</t>
  </si>
  <si>
    <t>Khella</t>
  </si>
  <si>
    <t xml:space="preserve">Ammi visnaga</t>
  </si>
  <si>
    <t xml:space="preserve">Antispasmodique puissant, corono-broncho-urétérodilitateur, anticoagulant.
Photosensibilisante, ne pas s’exposer au soleil après application, risque de réaction allergique cutanée.
Déconseillée pendant les 3 premiers mois de grossesse.</t>
  </si>
  <si>
    <t>Lantane</t>
  </si>
  <si>
    <t xml:space="preserve">Lantana camara</t>
  </si>
  <si>
    <t xml:space="preserve">Anticatarrhal, mucolytique, antiviral, emménagogue (provoque et régularise les règles), cicatrisant.
À utiliser avec précautions et sous des formes diluées.
Interdite aux bébés, aux enfants et aux femmes enceintes (neurotoxique et abortif lié à la présence de cétones).</t>
  </si>
  <si>
    <t xml:space="preserve">Laurier noble</t>
  </si>
  <si>
    <t xml:space="preserve">Laurus nobilis</t>
  </si>
  <si>
    <t xml:space="preserve">Antibactérien puissant à large spectre, antiviral puissant, fongicide remarquable, antalgique et antinévralgique puissant, régulateur du système nerveux, mucolytique et expectorant puissant, anticoagulant, antispasmodique, coronarodilatateur. Sensibilisation de type allergique possible, à utiliser diluée et avec précaution. Test de sensibilisation avant premier usage obligatoire. Déconseillée pendant les 3 premiers mois de grossesse.</t>
  </si>
  <si>
    <t xml:space="preserve">Lavande aspic</t>
  </si>
  <si>
    <t xml:space="preserve">Lavendula spica</t>
  </si>
  <si>
    <t xml:space="preserve">Antitoxique puissant, excellent fongicide, anticatarrhal, expectorant, cicatrisant en usage externe, antiviral exceptionnel et stimulant immunitaire, antalgique, analgésique, antibactérien moyen.</t>
  </si>
  <si>
    <t xml:space="preserve">Lavande vraie (offinicale)</t>
  </si>
  <si>
    <t xml:space="preserve">Lavandula angustifolia P. Miller</t>
  </si>
  <si>
    <t xml:space="preserve">Régulation du système nerveux, calmant, sédatif, antidépressif, antispasmodique puissant, décontractant musculaire, antiseptique général et pulmonaire, tonicardiaque et calmant des nerfs du cœur, hypotensif, cicatrisant cutané puissant, régénérateur cutané en usage externe, antalgique remarquable.
Huile essentielle dont aucune toxicité n’a été observée aux doses physiologiques.</t>
  </si>
  <si>
    <t xml:space="preserve">Lavandin super</t>
  </si>
  <si>
    <t xml:space="preserve">Lavandula hybrida super</t>
  </si>
  <si>
    <t xml:space="preserve">Calmant nerveux, sédatif, action antidépressive, équilibrant très puissant, antispasmodique neurotrope, antidépressive, psychoactif, régénérant cutané, revitalisant tissulaire anti-inflammatoire, anti-infectieux, antibactérien.</t>
  </si>
  <si>
    <t xml:space="preserve">Ledon du Groënland</t>
  </si>
  <si>
    <t xml:space="preserve">Ledum groenlandicum</t>
  </si>
  <si>
    <t xml:space="preserve">Favorise le drainage du foie et la régénérescence des cellules hépatiques, décongestif, anti-inflammatoire, antispasmodique, anti-allergique, antiseptique aérien.
Déconseillée aux personnes prenant des médicaments pour éclaircir le sang ou des coumarines.
Pas d’usage prolongé sans l’avis d’un aromathérapeute.
Déconseillée aux femmes enceintes et allaitantes et aux enfants de moins de 6 ans.</t>
  </si>
  <si>
    <t xml:space="preserve">Lemon grass</t>
  </si>
  <si>
    <t xml:space="preserve">Cymbopogon citratus</t>
  </si>
  <si>
    <t xml:space="preserve">Vasodilatateur (augmente le calibre des vaisseaux), améliore la circulation sanguine, calmant, anti-inflammatoire, stimulant digestif, tonique des tissus, négativant.
Survenue possible de réaction allergique et irritante cutanée en usage externe.
Attention en cas de sensibilité connue au glaucome aigu.</t>
  </si>
  <si>
    <t xml:space="preserve">Lentisque pistachier</t>
  </si>
  <si>
    <t xml:space="preserve">Pistacia lentiscus</t>
  </si>
  <si>
    <t xml:space="preserve">Décongestionnant veineux, décongestionnant lymphatique, décongestionnant prostatique, antispasmodique.
Dermocaustique, à utiliser systématiquement diluée en usage externe, au maximum à 20%, dans une huile végétale.
Déconseillée aux femmes enceintes et aux enfants de moins de 6 ans.</t>
  </si>
  <si>
    <t xml:space="preserve">Litsée citronnée</t>
  </si>
  <si>
    <t xml:space="preserve">Litsea cubeba lour persoon</t>
  </si>
  <si>
    <t xml:space="preserve">Angoisse, insomnie, dépression nerveuse, agitation, névrite (inflammation d’un nerf) virale, tendinites, arthrites, rhumatismes articulaires, ulcère de l’estomac et du duodénum (partie de l’intestin à la sortie de l’estomac), entérocolite inflammatoire, manque d’appétit, insuffisance digestif, acné, peau très grasse, mycoses, parasitoses.
Ne pas employer pure sur la peau (risque d’irritation).
Déconseillée aux femmes enceintes et aux très jeunes enfants.</t>
  </si>
  <si>
    <t>Macérâts</t>
  </si>
  <si>
    <t xml:space="preserve">Mandarine rouge</t>
  </si>
  <si>
    <t xml:space="preserve">Citrus reticulata</t>
  </si>
  <si>
    <t xml:space="preserve">Antispasmodique puissant, calmant, sédatif, relaxant, favorise le sommeil, antiseptique, tonique digestif, laxatif doux, carminatif, stimulant gastrique et hépatique.
Photosensibilisante, ne pas s’exposer au soleil après application, risque de réaction allergique cutanée.
Déconseillée pendant les 3 premiers mois de grossesse.</t>
  </si>
  <si>
    <t xml:space="preserve">Mandarine verte</t>
  </si>
  <si>
    <t xml:space="preserve">Citrus reticulata Blanco</t>
  </si>
  <si>
    <t xml:space="preserve">Calmant, sédatif, relaxant, favorise le sommeil, antiseptique, tonique digestif, laxatif doux, carminatif, stimulant gastrique et hépatique.
Dermocaustique si elle est appliquée pure. Photosensibilisante, ne pas s’exposer au soleil après application, risque de réaction allergique cutanée.
Déconseillée aux femmes enceintes, allaitantes et pendant les 3 premiers mois de grossesse.</t>
  </si>
  <si>
    <t>Manuka</t>
  </si>
  <si>
    <t xml:space="preserve">Leptospermum scoparium</t>
  </si>
  <si>
    <t xml:space="preserve">Puissante antiseptique atmosphérique, antibactérien, antiviral, antifongique très puissant (20 fois plus que l’huile de tea tree sur certaines bactéries et germes), antihistaminique et expectorant.
Déconseillée aux femmes enceintes et allaitantes.</t>
  </si>
  <si>
    <t xml:space="preserve">Marjolaine des jardins</t>
  </si>
  <si>
    <t xml:space="preserve">Origanum majorana L.</t>
  </si>
  <si>
    <t xml:space="preserve">Parasympathicotonique puissant : hypotensif, vasodilatateur, anaphrodisiaque, sédatif, calmant puissant du système nerveux central, anti-asthénique, neurotonique et rééquilibrant général et nerveux, fongicide puissant, antibactérien puissant, antispasmodique antalgique percutané et anti-inflammatoire, stimulant stomacal, intestinal et rénal.
Dermocaustique, à utiliser systématiquement diluée en usage externe, au maximum à 20%, dans une huile végétale.
Attention en cas de sensibilité connue au glaucome aigu.
Déconseillée pendant les 3 premiers mois de grossesse.</t>
  </si>
  <si>
    <t xml:space="preserve">Marjolaine à thujanol</t>
  </si>
  <si>
    <t xml:space="preserve">Origanum majorana CT thujanol</t>
  </si>
  <si>
    <t xml:space="preserve">Antibactérien puissant, antiviral puissant, antifongique, régule l’immunité (booste l’immunité en cas de faiblesse ou la diminue en cas d’excès de production d’anticorps dans l’organisme), stimule et régénère le foie, possède une action hypotensive et favorise la dilatation des vaisseaux sanguins, antispasmodique, antalgique (calme la douleur et les contractions), active la circulation sanguine, réchauffe le muscle.
Attention aux peaux hypersensibles : diluer à 50 % si nécessaire.
Déconseillée pendant les 3 premiers mois de grossesse.</t>
  </si>
  <si>
    <t xml:space="preserve">Menthe aquatique (menthe violette)</t>
  </si>
  <si>
    <t xml:space="preserve">Mentha aquatica L.</t>
  </si>
  <si>
    <t xml:space="preserve">Proche lavandin super nd.</t>
  </si>
  <si>
    <t xml:space="preserve">Menthe citronnée</t>
  </si>
  <si>
    <t xml:space="preserve">Mentha X citrata</t>
  </si>
  <si>
    <t xml:space="preserve">Harmonisant et équilibrant nerveux, antispasmodique, tonique digestif, hépatique et pancréatique, tonique sexuel et aphrodisiaque remarquable.
Dermocaustique, à utiliser systématiquement diluée en usage externe, au maximum à 20%, dans une huile végétale.
Déconseillée pendant les 3 premiers mois de grossesse.</t>
  </si>
  <si>
    <t xml:space="preserve">Menthe poivrée</t>
  </si>
  <si>
    <t xml:space="preserve">Mentha X piperita</t>
  </si>
  <si>
    <t xml:space="preserve">Tonique et stimulant cardiaque, digestif, pancréatique et nerveuse, décongestionnant nasal, hépatique et prostatique, anesthésique et antalgique, antiprurigineux (calme les démangeaisons), antimalarique, rafraîchissant, bactéricide, fongicide anti-inflammatoire intestinal et urinaire, anticatarrhal, expectorant, mucolytique, emménagogue (provoque et régularise les règles).
Huile essentielle générant une sensation de froid locale entrainant un reflexe laryngé ou nasal pouvant entraîner la mort sur les enfants.
Déconseillée aux bébés avant 30 mois et en usage externe pur.</t>
  </si>
  <si>
    <t xml:space="preserve">Muscade (noix)</t>
  </si>
  <si>
    <t xml:space="preserve">Myristica fragrans</t>
  </si>
  <si>
    <t xml:space="preserve">Tonique général, cérébral et circulatoire, aphrodisiaque, stimulant de la digestion, carminatif et digestif, facilite l’élimination des gaz, antalgique (combat la douleur), analgésique, emménagogue (provoque et régularise les règles), favorise l’accouchement, antiseptique, antiparasitaire (voir maladie de Raynaud).
À forte dose, stupéfiant (diminue la sensibilité et la réaction aux stimuli).
Déconseillée aux femmes enceintes (en dehors de l’accouchement) et aux enfants de moins de 6 ans (activité hormonale).</t>
  </si>
  <si>
    <t xml:space="preserve">Myrrhe sauvage</t>
  </si>
  <si>
    <t xml:space="preserve">Commiphora myrrha ou molmol</t>
  </si>
  <si>
    <t xml:space="preserve">Anti-infectieux, antiviral, parasiticide (ascaris), aseptisant, excellent anti-inflammatoire, antalgique remarquable cicatrisant cutané, régulateur endocrinien (anaphrodisiaque, frein régulateur thyroïdien).
Huile essentielle légèrement irritante et stimulant léger des contractions utérines.
Dermocaustique, ne pas utiliser pure sur la peau.
Déconseillée aux femmes enceintes, bébés et enfants.</t>
  </si>
  <si>
    <t xml:space="preserve">Myrte rouge</t>
  </si>
  <si>
    <t xml:space="preserve">Myrtus communis L. sb. Acétate de myrtényle</t>
  </si>
  <si>
    <t xml:space="preserve">Antispasmodique, décongestionnante veineuse et lymphatique.
Interdite aux femmes enceintes, allaitantes et aux enfants en bas âge.</t>
  </si>
  <si>
    <t xml:space="preserve">Myrte verte</t>
  </si>
  <si>
    <t xml:space="preserve">Myrtus communis L. sb. 1,8-cineoliferum</t>
  </si>
  <si>
    <t xml:space="preserve">Anticatarrhal, expectorant, anti-infectieux, hépatostimulant, décongestionnant veineux et prostatique, antispasmodique léger, préparateur du sommeil, tonique et astringent cutané, hormon-like (thyroïde, ovaire).
Interdite aux femmes enceintes, allaitantes et aux bébés.</t>
  </si>
  <si>
    <t xml:space="preserve">Mélisse officinale</t>
  </si>
  <si>
    <t xml:space="preserve">Melissa officinalis</t>
  </si>
  <si>
    <t xml:space="preserve">Calmant, sédatif voire hypnotique, hypotensif, rééquilibrant du système neurovégétatif, anti-inflammatoire, antiparasitaire intestinal, carminatif, stomachique, antispasmodique, tonique cérébral, litholytique (substance ayant la capacité de dissoudre les calculs biliaires), cholérétique (substance stimulant la sécrétion de bile par le foie).
Dermocaustique, à utiliser systématiquement diluée en usage externe, au maximum à 20%, dans une huile végétale.
Déconseillée pendant les 3 premiers mois de grossesse.</t>
  </si>
  <si>
    <t xml:space="preserve">Nard jatamansi</t>
  </si>
  <si>
    <t xml:space="preserve">Nardostachys jatamansi</t>
  </si>
  <si>
    <t xml:space="preserve">Calmant respiratoire et cardiaque, phlébotonique (améliore la circulation veineuse), stimulant ovarien, anti-inflammatoire, antibactérien, stimule la pousse des cheveux et aide à l’entretien de la peau.</t>
  </si>
  <si>
    <t>Niaouli</t>
  </si>
  <si>
    <t xml:space="preserve">Melaleuca quinquenervia</t>
  </si>
  <si>
    <t xml:space="preserve">Antibactérien sélectif (+++), fongicide (++), antimycobactérien (++), anticatarrhal, expectotant, balsamique
(+++), décongestionant veineux (++), radioprotecteur cutané (++++), antiviral (++++), tonique cutané et topique
(+++).
Dermocaustique possible à l’état pur.
À utiliser avec prudence chez les femmes enceintes et les enfants en bas âge.
Déconseillée pendant les 3 premiers mois de grossesse.</t>
  </si>
  <si>
    <t xml:space="preserve">Néroli (fleur d'oranger amer)</t>
  </si>
  <si>
    <t xml:space="preserve">Citrus aurantium var. amara</t>
  </si>
  <si>
    <t xml:space="preserve">Antibactérien, antiparasitaire, tonique digestif, stimule le foie et le pancréas, tonique nerveux, sédatif, antidépresseur, redonne vitalité et confiance en soi, apaise les angoisses et les peurs, développe la joie, tonique cutané, améliore la qualité de la peau, aphrodisiaque, favorise la baisse de la tension artérielle et du rythme cardiaque.
À utiliser avec précaution et sur de courtes périodes.</t>
  </si>
  <si>
    <t>Orange</t>
  </si>
  <si>
    <t xml:space="preserve">Citrus sinensis</t>
  </si>
  <si>
    <t xml:space="preserve">Antiseptique aérien, calmant, sédatif, stomachique, carminatif, tonique digestif, tonique de l’épiderme, excellent arôme alimentaire, risque de réactions allergiques.
Photosensibilisante, ne pas s’exposer au soleil après application, risque de réaction allergique cutanée.</t>
  </si>
  <si>
    <t xml:space="preserve">Origan compact (vulgaire)</t>
  </si>
  <si>
    <t xml:space="preserve">Origanum compactum</t>
  </si>
  <si>
    <t xml:space="preserve">Antibactérien puissant à large spectre d’action, fongicide, mycobactéricide, parasiticide, antiviral, immunostimulant, positivant, tonique et stimulant général.
Légèrement dermocaustique.
Déconseillée aux femmes enceintes et aux enfants de moins de 6 ans.</t>
  </si>
  <si>
    <t>Palmarosa</t>
  </si>
  <si>
    <t xml:space="preserve">Cymbopogon martinii var motia</t>
  </si>
  <si>
    <t xml:space="preserve">Antibactérien puissant à large spectre, antifongique puissant, antiviral et stimulant immunitaire, astringent, stimulant cellulaire, hydratant et cicatrisant, excellent drainant lymphatique, antidouleur, tonique général du système neuro-hormonal, aphrodisiaque.
Interdite aux femmes enceintes sauf pour faciliter l’accouchement.</t>
  </si>
  <si>
    <t>Pamplemousse</t>
  </si>
  <si>
    <t xml:space="preserve">Citrus paradisii Macfadyen J.</t>
  </si>
  <si>
    <t xml:space="preserve">Apéritif, drainant du foie et des reins, détoxifiant, astringent, diurétique et dépuratif, s’oppose à la chute des cheveux, action positive sur les peaux congestionnées et grasses, antiseptique aérien, tonique nerveux, stimulant digestif.
Photosensibilisante, ne pas s’exposer au soleil après application, risque de réaction allergique cutanée.</t>
  </si>
  <si>
    <t>Patchouli</t>
  </si>
  <si>
    <t xml:space="preserve">Pogostemon cablin</t>
  </si>
  <si>
    <t xml:space="preserve">Décongestionnant, favorise la circulation veineuse, régénérateur des tissus, s’oppose à la putréfaction, cicatrisant, stimulant digestif, tonique (si prise à petite dose), aphrodisiaque, anti-inflammatoire, anti-infectieux et antiseptique, éloigne les insectes.
Attention, cette huile est tonique lorsqu’elle est utilisée à faible dose ; elle est, par contre, sédative à forte dose.</t>
  </si>
  <si>
    <t xml:space="preserve">Petit grain bigarade</t>
  </si>
  <si>
    <t xml:space="preserve">Citrus aurantium var. Amara</t>
  </si>
  <si>
    <t xml:space="preserve">Calmant nerveux, sédatif, action antidépressive, équilibrant très puissant, antispasmodique, neurotrope, antidépressif psychoactif, régénérant cutané, revitalisant tissulaire, anti-inflammatoire, anti-infectieux et antibactérien.
Déconseillée pendant les 3 premiers mois de grossesse.</t>
  </si>
  <si>
    <t xml:space="preserve">Pin maritime</t>
  </si>
  <si>
    <t xml:space="preserve">Pinus pinaster</t>
  </si>
  <si>
    <t xml:space="preserve">Anticatarrhal, expectorant, antiseptique, oxygénant, stimulant, antalgique, allergisant.
Dermocaustique, à utiliser systématiquement diluée en usage externe, au maximum à 20%, dans une huile végétale.</t>
  </si>
  <si>
    <t xml:space="preserve">Pin sylvestre</t>
  </si>
  <si>
    <t xml:space="preserve">Pinus sylvestris L.</t>
  </si>
  <si>
    <t xml:space="preserve">Tonique puissant, cortison-like (effet similaire à la cortisone), antiseptique respiratoire et expectorant, rubéfiant
(réchauffe), analgésique cutané, antibactérien moyen, décongestionnant lymphatique et ovarien, hypertensif, fongicide.
Dermocaustique, à utiliser diluée en usage externe, au maximum à 20%, dans une huile végétale.
Déconseillée pendant les 3 premiers mois de grossesse et aux enfants de moins de 6 ans.</t>
  </si>
  <si>
    <t xml:space="preserve">Poudres de plantes parfumées</t>
  </si>
  <si>
    <t>Pruche</t>
  </si>
  <si>
    <t xml:space="preserve">Tsuga cadanensis</t>
  </si>
  <si>
    <t xml:space="preserve">Equilibrant nerveux, renforce et protège le système énergétique, huile de passage, réconforte, facilite le lâcher-prise, stimule l’imagination et l’inspiration, mucolytique, anti-infectieux, immunostimulant, vasoconstricteur.
Aucune contre-indication connue aux doses physiologiques.</t>
  </si>
  <si>
    <t xml:space="preserve">Ravensare aromatica</t>
  </si>
  <si>
    <t xml:space="preserve">Ravensara aromatica</t>
  </si>
  <si>
    <t xml:space="preserve">Tonique, anti-stress, antiviral puissant, immunostimulant.</t>
  </si>
  <si>
    <t xml:space="preserve">Ravindsara (ravintsare)</t>
  </si>
  <si>
    <t xml:space="preserve">Cinnamomum camphora (var. Madagascar)</t>
  </si>
  <si>
    <t xml:space="preserve">Tonique, neurotonique, énergisant, puissant antiviral et microbicide exceptionnel, antifongique (++++), immunostimulant, stimulant de l’appareil cardiorespiratoire, anticatarrhal, expectorant, dégagement des voies respiratoires.
Cette huile extrêmement douce est dénuée de toute toxicité (aux doses physiologiques).
Son emploi par voie cutanée, diluée à 50% dans de l’huile de noisette, peut s’envisager sur les nourrissons dès le 3e mois.</t>
  </si>
  <si>
    <t xml:space="preserve">Romarin officinal à cinéol</t>
  </si>
  <si>
    <t xml:space="preserve">Rosmarinus officinalis cineoliferum</t>
  </si>
  <si>
    <t xml:space="preserve">Mucolytique, anticatarrhal, expectorant, bactéricide puissant (staphylocoque doré, staphylocoque blanc, streptocoque etc.), fongicide, revitalisant cutané et capillaire.</t>
  </si>
  <si>
    <t xml:space="preserve">Romarin officinal à verbénone</t>
  </si>
  <si>
    <t xml:space="preserve">Rosmarinus officinalis var. verbenoniferum</t>
  </si>
  <si>
    <t xml:space="preserve">Anticatarrhal, mucolytique, régénérateur hépatocytaire et drainant hépatique, régulateur endocrinien, lipolytique, équilibrant du système nerveux, tonique cutané, cicatrisant, anti-infectieux, antiseptique, tonique cardiaque. Contient des cétones (risque neurotoxique et abortif).
Interdit aux femmes enceintes, ,allaitantes, aux bébés et aux sujets épileptiques.</t>
  </si>
  <si>
    <t>Rosalina</t>
  </si>
  <si>
    <t xml:space="preserve">Melaleuca ericifolia</t>
  </si>
  <si>
    <t xml:space="preserve">Anti-infectieux, antiseptique, antifongique, expectorant doux, antispasmodique et anticonvulsivant, calmant,
relaxant, cosmétique anti-âge et régénérant (par rapprochement avec le bois de rose).
Note olfactive très douce et agréable.
À utiliser en externe uniquement.</t>
  </si>
  <si>
    <t xml:space="preserve">Rose de Damas</t>
  </si>
  <si>
    <t xml:space="preserve">Rosa damascena</t>
  </si>
  <si>
    <t xml:space="preserve">Tonique général, neurotonique (tonique du système nerveux), aphrodisiaque, puissant harmonisant psycho-émotionnel en cas d’anxiété, de dépression, d’insomnie, de palpitations, amène le lâcher-prise (en association avec le nard), tonique cutané, astringent, antihémorragique, cicatrisant, prévient et lutte contre les rides, anti-infectieux.
Pouvoir parfumant puissant, note olfactive de cœur caractéristique très recherchée.
Déconseillée pendant les 4 premiers mois de grossesse.</t>
  </si>
  <si>
    <t xml:space="preserve">Sapin baumier</t>
  </si>
  <si>
    <t xml:space="preserve">Abies balsamea</t>
  </si>
  <si>
    <t xml:space="preserve">Balsamique (qui a des propriétés comparables à celles du baume), antiseptique respiratoire, antispasmodique, anti-inflammatoire, antalgique, rubéfiant (réchauffe), anti-arthrosique, tonique et stimulant général.
Dermocaustique, à utiliser diluée en usage externe, au maximum à 20%, dans une huile végétale.
Déconseillée pendant les 3 premiers mois de grossesse.</t>
  </si>
  <si>
    <t xml:space="preserve">Sapin de Sibérie</t>
  </si>
  <si>
    <t xml:space="preserve">Abies Sibirica</t>
  </si>
  <si>
    <t xml:space="preserve">Antispasmodique respiratoire, antiseptique et désodorisant, anti-inflammatoire (notamment musculaire).</t>
  </si>
  <si>
    <t>Saro</t>
  </si>
  <si>
    <t xml:space="preserve">Cinnamosma fragans</t>
  </si>
  <si>
    <t xml:space="preserve">Antiviral, anticatarrhal, expectorant, antibactérien, immunomodulane, antifongique, antispasmodique,
calmant neurotonique, astringent cutané et antiparasitaire.</t>
  </si>
  <si>
    <t xml:space="preserve">Sarriette des montagne</t>
  </si>
  <si>
    <t xml:space="preserve">Satureia montana</t>
  </si>
  <si>
    <t xml:space="preserve">Anti-infectieux majeur (antibactérien, antifongique, antiparasitaire, antiviral, stimule les défenses immunitaires), tonique et stimulant général (nerveux, circulatoire, sexuel, digestif), antalgique percutané.
Dermocaustique, peut se révéler irritante en application pure sur la peau.
Déconseillée aux enfants de moins de 6 ans et pendant la grossesse.
À utiliser en cure sur une période courte.</t>
  </si>
  <si>
    <t>Sassafras</t>
  </si>
  <si>
    <t xml:space="preserve">Ocotea pretiosa (Nees) Mez. ou Sassafras albidum (écorces et feuilles)</t>
  </si>
  <si>
    <t xml:space="preserve">Anticararrhale, anti-infectieux, antiseptique, antiparasitaire, antibactérien, tonique et stimulant général, diurétique, carminatif, antalgique, antirhumatismal.
Eviter l’usage interne.
Eviter tout contact avec les bébés, jeunes enfants (&lt; 12 ans) et les femmes enceintes.
Cependant, on notera que certains composés de cette plante, dont le safrole, sont considérés comme des substances toxiques, voir cancérogènes. Le thé de sassafras riche en safrole a été interdit aux USA par l’administration des médicaments et des aliments (fda) après que ses effets carcinogènes aient été observés sur les rats. Aujourd’hui, le safrole est aussi interdit pour l’utilisation dans le savon et les parfums par l’Association Internationale des Fragrances (international fragrance association).</t>
  </si>
  <si>
    <t xml:space="preserve">Sauge officinale (uniquement diluée)</t>
  </si>
  <si>
    <t xml:space="preserve">Salvia officinalis</t>
  </si>
  <si>
    <t xml:space="preserve">Antibactérien spécifique (coques gram +, staphylocoques dorés, streptocoques), antifongique (candida albicans),
antiviral puissant, expectorant, mucolytique, lipolytique (facilite l’élimination des graisses), anticellulitique, cholagogue et cholérétique (stimule les sécrétions biliaires et pancréatiques, modère l’excès de cholestérol), emménagogue et mimétique des oestrogènes (régule les cycles menstruels et soulage les troubles liés aux cycles et à la ménopause), cicatrisante cutanée, s’oppose à la transpiration et aux bouffées de chaleur, diminue les sécrétions salivaires.
À utiliser avec une grande prudence à cause de sa teneur en thujone, substance neurotoxique et abortif.
Interdite aux femmes enceintes et aux enfants, aux personnes épileptiques, souffrant d’hypertension ou très malades.
Usage limité dans le temps, surtout s’il s’agit d’un usage interne.
Usage interne sous contrôle médical uniquement.</t>
  </si>
  <si>
    <t xml:space="preserve">Sauge sclarée</t>
  </si>
  <si>
    <t xml:space="preserve">Salvia Sclarea L.</t>
  </si>
  <si>
    <t xml:space="preserve">Hormon-like, antispasmodique, antalgique, harmonisant des organes génitaux féminins, anti-acnéique, régulateur de l’humeur.
Déconseillée aux hommes, aux enfants de moins de 6 ans et aux femmes enceintes.</t>
  </si>
  <si>
    <t xml:space="preserve">Tanaisie annuelle (camomille bleue)</t>
  </si>
  <si>
    <t xml:space="preserve">Tanacetum annuum</t>
  </si>
  <si>
    <t xml:space="preserve">Anti-inflammatoire, antiphlogistique, antihistaminique, antiprurigineux, antalgique, sédatif nerveux, calmant, hypotensif, tonique veineux, action mimétique aux hormones.
Action hormonale supposée sur certains sujets (pathologies cancéreuses).
Déconseillée pendant les 3 premiers mois de la grossesse, aux jeunes enfants et aux sujets épileptiques (contient du camphre).</t>
  </si>
  <si>
    <t xml:space="preserve">Tea tree</t>
  </si>
  <si>
    <t xml:space="preserve">Melaleuca alternifolia</t>
  </si>
  <si>
    <t xml:space="preserve">Antibactérien majeur à large spectre, antiviral puissant, antiparasitaire et antifongique très efficace, antiasthénique et neurotonique, immunostimulant puissant, décongestionnant veineux et lymphatique, radioprotecteur, antispasmodique.
Déconseillée pendant les 3 premiers mois de grossesse.</t>
  </si>
  <si>
    <t xml:space="preserve">Thuya occidental</t>
  </si>
  <si>
    <t xml:space="preserve">Thuja occidentalis L.</t>
  </si>
  <si>
    <t xml:space="preserve">Anticatarrhal, mucolytique, régénérateur hépatocytaire et drainant hépatique, régulateur endocrinien, lipolytique, équilibrant du système nerveux, tonique cutané, cicatrisant, anti-infectieux, antiseptique, tonique cardiaque. Contient des cétones (risque neurotoxique et abortif).
Déconseillée aux femmes enceintes, aux bébés et aux sujets épileptiques.</t>
  </si>
  <si>
    <t xml:space="preserve">Thym doux linalol</t>
  </si>
  <si>
    <t xml:space="preserve">Thymus vulgaris sb linalol</t>
  </si>
  <si>
    <t xml:space="preserve">Antiseptique général puissant, anti-infectieux (antiviral et antibactérien), antifongique (candida albicans), vermifuge
(ténia, ascaris, oxyures), tonique, neurotonique, utérotonique, aphrodisiaque.
L’huile essentielle de thym linalol s’emploie diluée sur la peau.
Interdit aux femmes enceintes, allaitantes et aux enfants de moins de 5 ans.</t>
  </si>
  <si>
    <t xml:space="preserve">Thym à bornéol (saturéoïdes)</t>
  </si>
  <si>
    <t xml:space="preserve">Thymus satureioides sb borneoliferum</t>
  </si>
  <si>
    <t xml:space="preserve">Antibactérien majeur à large spectre d’action, régulateur immunitaire, tonique général (physique, mental et sexuel), antiparasitaire .
Dermocaustique, à utiliser systématiquement diluée en usage externe, au maximum à 20%, dans une huile végétale.
Déconseillée aux femmes enceintes, allaitantes et aux les enfants de moins de 6 ans.</t>
  </si>
  <si>
    <t xml:space="preserve">Thym à thujanol</t>
  </si>
  <si>
    <t xml:space="preserve">Thymus vulgaris thujanoliferum</t>
  </si>
  <si>
    <t xml:space="preserve">Antibactérien, antiviral, stimulant immunitaire, stimulant et régénérateur hépatique, activateur sanguin, circulatoire, réchauffant, neurotonique, équilibrant, harmonisant nerveux, antifongique
Dermocaustique, à utiliser systématiquement diluée en usage externe, au maximum à 20%, dans une huile végétale.
L’usage interne doit être limité en quantité et dans la durée.</t>
  </si>
  <si>
    <t xml:space="preserve">Thym à thymol</t>
  </si>
  <si>
    <t xml:space="preserve">Thymus vulgaris thymoliferum</t>
  </si>
  <si>
    <t xml:space="preserve">Antibactérien à large spectre d’action, antiparasitaire puissant, antiviral et stimulant immunitaire, fongicide, tonique et stimulant général, digestif, carminatif, apéritif.
Dermocaustique, à utiliser systématiquement diluée en usage externe, au maximum à 5%, dans une huile végétale.
Cette huile est très puissante.
À utiliser avec modération. Pour les sujets sensibles, préférez l’huile de thym linalol.
Déconseillée aux les femmes enceintes, allaitantes et pour les enfants de moins de 6 ans.</t>
  </si>
  <si>
    <t>Térébenthine</t>
  </si>
  <si>
    <t xml:space="preserve">Vanille (oléorésine)</t>
  </si>
  <si>
    <t xml:space="preserve">Apaisant et relaxant, purifiant, stimulant, tonique, aphrodisiaque et émotionnel, digestif, hydratant, restructurant, régénérant et purifiant de la peau.</t>
  </si>
  <si>
    <t xml:space="preserve">Verveine citronnée ou odorante</t>
  </si>
  <si>
    <t xml:space="preserve">Lippia citriodora</t>
  </si>
  <si>
    <t xml:space="preserve">Antidépressif, sédatif puissant, anti-inflammatoire efficace, antinévralgique, stomachique, eupeptique, tonique vésiculaire et pancréatique, harmonisant endocrinien (thyroïde, pancréas). Irritation cutanée possible (diluer et effectuer un test préliminaire d’application du mélange dans le pli du coude).
Photosensibilisante, ne pas s’exposer au soleil après application, risque de réaction allergique cutanée.
Déconseillée pendant les 4 premiers mois de grossesse.</t>
  </si>
  <si>
    <t>Vétiver</t>
  </si>
  <si>
    <t xml:space="preserve">Vetiveria zizanoides Stapf</t>
  </si>
  <si>
    <t xml:space="preserve">Tonique glandulaire, stimulant endocrinien, tonique circulatoire artériel et veineuse, tonique lymphatique,
Stimulant immunitaire, emménagogue, tranquillisant.
Déconseillée aux femmes enceintes et aux jeunes enfants.</t>
  </si>
  <si>
    <t>Xanthoxylum</t>
  </si>
  <si>
    <t xml:space="preserve">Xanthoxylum armatum</t>
  </si>
  <si>
    <t xml:space="preserve">Anti-infectieux puissant, sédatif, calmant.</t>
  </si>
  <si>
    <t>Ylang-ylang</t>
  </si>
  <si>
    <t xml:space="preserve">Cananga Odorata</t>
  </si>
  <si>
    <t xml:space="preserve">Calmant respiratoire et cardiaque, tonique, stimulant intellectuel et sexuel, équilibrante nerveuse, antidépressive, hypotenseur, antiarythmique, régénérateur cellulaire et antiseptique, séborégulatrice, tonique de la peau et des cheveux de tout type, antidiabétique.
Dermocaustique, éviter l’application de l’h.e. pure sur les peaux sensibles (à diluer dans une huile végétale).
Déconseillée pendant les 3 premiers mois de grossesse.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</si>
</sst>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4">
    <font>
      <sz val="11.000000"/>
      <color theme="1"/>
      <name val="Aptos Narrow"/>
      <scheme val="minor"/>
    </font>
    <font>
      <b/>
      <sz val="11.000000"/>
      <color theme="0"/>
      <name val="Aptos Narrow"/>
      <scheme val="minor"/>
    </font>
    <font>
      <b/>
      <sz val="11.000000"/>
      <color theme="1"/>
      <name val="Aptos Narrow"/>
      <scheme val="minor"/>
    </font>
    <font>
      <b/>
      <sz val="9.000000"/>
      <color theme="1"/>
      <name val="Aptos Narrow"/>
      <scheme val="minor"/>
    </font>
    <font>
      <sz val="11.000000"/>
      <color theme="0"/>
      <name val="Aptos Narrow"/>
      <scheme val="minor"/>
    </font>
    <font>
      <b/>
      <sz val="9.000000"/>
      <color theme="0"/>
      <name val="Aptos Narrow"/>
      <scheme val="minor"/>
    </font>
    <font>
      <b/>
      <sz val="10.000000"/>
      <color theme="0"/>
      <name val="Aptos Narrow"/>
      <scheme val="minor"/>
    </font>
    <font>
      <i/>
      <sz val="11.000000"/>
      <color theme="1"/>
      <name val="Aptos Narrow"/>
      <scheme val="minor"/>
    </font>
    <font>
      <sz val="9.000000"/>
      <color theme="1"/>
      <name val="Aptos Narrow"/>
      <scheme val="minor"/>
    </font>
    <font>
      <b/>
      <sz val="6.000000"/>
      <color theme="0"/>
      <name val="Aptos Narrow"/>
      <scheme val="minor"/>
    </font>
    <font>
      <b/>
      <sz val="7.000000"/>
      <color theme="0"/>
      <name val="Aptos Narrow"/>
      <scheme val="minor"/>
    </font>
    <font>
      <sz val="8.000000"/>
      <color theme="1"/>
      <name val="Aptos Narrow"/>
      <scheme val="minor"/>
    </font>
    <font>
      <sz val="7.000000"/>
      <color theme="1"/>
      <name val="Aptos Narrow"/>
      <scheme val="minor"/>
    </font>
    <font>
      <sz val="6.000000"/>
      <color theme="1"/>
      <name val="Aptos Narrow"/>
      <scheme val="minor"/>
    </font>
  </fonts>
  <fills count="21">
    <fill>
      <patternFill patternType="none"/>
    </fill>
    <fill>
      <patternFill patternType="gray125"/>
    </fill>
    <fill>
      <patternFill patternType="solid">
        <fgColor theme="7" tint="-0.249977111117893"/>
      </patternFill>
    </fill>
    <fill>
      <patternFill patternType="solid">
        <fgColor theme="0"/>
      </patternFill>
    </fill>
    <fill>
      <patternFill patternType="solid">
        <fgColor theme="8"/>
      </patternFill>
    </fill>
    <fill>
      <patternFill patternType="solid">
        <fgColor theme="8" tint="0.39997558519241921"/>
      </patternFill>
    </fill>
    <fill>
      <patternFill patternType="solid">
        <fgColor theme="8" tint="0.79998168889431442"/>
      </patternFill>
    </fill>
    <fill>
      <patternFill patternType="solid">
        <fgColor theme="8" tint="0.59999389629810485"/>
      </patternFill>
    </fill>
    <fill>
      <patternFill patternType="solid">
        <fgColor theme="9"/>
      </patternFill>
    </fill>
    <fill>
      <patternFill patternType="solid">
        <fgColor theme="9" tint="0.39997558519241921"/>
      </patternFill>
    </fill>
    <fill>
      <patternFill patternType="solid">
        <fgColor theme="9" tint="0.59999389629810485"/>
      </patternFill>
    </fill>
    <fill>
      <patternFill patternType="solid">
        <fgColor theme="9" tint="0.79998168889431442"/>
      </patternFill>
    </fill>
    <fill>
      <patternFill patternType="solid">
        <fgColor theme="0" tint="-0.14999847407452621"/>
      </patternFill>
    </fill>
    <fill>
      <patternFill patternType="solid">
        <fgColor theme="3" tint="0.89999084444715716"/>
      </patternFill>
    </fill>
    <fill>
      <patternFill patternType="solid">
        <fgColor theme="3" tint="0.499984740745262"/>
      </patternFill>
    </fill>
    <fill>
      <patternFill patternType="solid">
        <fgColor theme="3" tint="0.749992370372631"/>
      </patternFill>
    </fill>
    <fill>
      <patternFill patternType="solid">
        <fgColor theme="7"/>
      </patternFill>
    </fill>
    <fill>
      <patternFill patternType="solid">
        <fgColor theme="6" tint="0.79998168889431442"/>
      </patternFill>
    </fill>
    <fill>
      <patternFill patternType="solid">
        <fgColor rgb="FF00B050"/>
      </patternFill>
    </fill>
    <fill>
      <patternFill patternType="solid">
        <fgColor theme="4"/>
        <bgColor theme="4"/>
      </patternFill>
    </fill>
    <fill>
      <patternFill patternType="solid">
        <fgColor theme="4" tint="0.79998168889431442"/>
        <bgColor theme="4" tint="0.79998168889431442"/>
      </patternFill>
    </fill>
  </fills>
  <borders count="56">
    <border>
      <left style="none"/>
      <right style="none"/>
      <top style="none"/>
      <bottom style="none"/>
      <diagonal style="none"/>
    </border>
    <border>
      <left style="medium">
        <color auto="1"/>
      </left>
      <right style="none"/>
      <top style="medium">
        <color auto="1"/>
      </top>
      <bottom style="medium">
        <color auto="1"/>
      </bottom>
      <diagonal style="none"/>
    </border>
    <border>
      <left style="none"/>
      <right style="none"/>
      <top style="medium">
        <color auto="1"/>
      </top>
      <bottom style="medium">
        <color auto="1"/>
      </bottom>
      <diagonal style="none"/>
    </border>
    <border>
      <left style="none"/>
      <right style="medium">
        <color auto="1"/>
      </right>
      <top style="medium">
        <color auto="1"/>
      </top>
      <bottom style="medium">
        <color auto="1"/>
      </bottom>
      <diagonal style="none"/>
    </border>
    <border>
      <left style="medium">
        <color auto="1"/>
      </left>
      <right style="thin">
        <color auto="1"/>
      </right>
      <top style="medium">
        <color auto="1"/>
      </top>
      <bottom style="thin">
        <color auto="1"/>
      </bottom>
      <diagonal style="none"/>
    </border>
    <border>
      <left style="thin">
        <color auto="1"/>
      </left>
      <right style="medium">
        <color auto="1"/>
      </right>
      <top style="medium">
        <color auto="1"/>
      </top>
      <bottom style="thin">
        <color auto="1"/>
      </bottom>
      <diagonal style="none"/>
    </border>
    <border>
      <left style="medium">
        <color auto="1"/>
      </left>
      <right style="medium">
        <color auto="1"/>
      </right>
      <top style="medium">
        <color auto="1"/>
      </top>
      <bottom style="none"/>
      <diagonal style="none"/>
    </border>
    <border>
      <left style="medium">
        <color auto="1"/>
      </left>
      <right style="medium">
        <color auto="1"/>
      </right>
      <top style="medium">
        <color auto="1"/>
      </top>
      <bottom style="thin">
        <color auto="1"/>
      </bottom>
      <diagonal style="none"/>
    </border>
    <border>
      <left style="medium">
        <color auto="1"/>
      </left>
      <right style="thin">
        <color auto="1"/>
      </right>
      <top style="thin">
        <color auto="1"/>
      </top>
      <bottom style="medium">
        <color auto="1"/>
      </bottom>
      <diagonal style="none"/>
    </border>
    <border>
      <left style="thin">
        <color auto="1"/>
      </left>
      <right style="medium">
        <color auto="1"/>
      </right>
      <top style="thin">
        <color auto="1"/>
      </top>
      <bottom style="medium">
        <color auto="1"/>
      </bottom>
      <diagonal style="none"/>
    </border>
    <border>
      <left style="medium">
        <color auto="1"/>
      </left>
      <right style="medium">
        <color auto="1"/>
      </right>
      <top style="none"/>
      <bottom style="none"/>
      <diagonal style="none"/>
    </border>
    <border>
      <left style="medium">
        <color auto="1"/>
      </left>
      <right style="medium">
        <color auto="1"/>
      </right>
      <top style="none"/>
      <bottom style="thin">
        <color auto="1"/>
      </bottom>
      <diagonal style="none"/>
    </border>
    <border>
      <left style="medium">
        <color auto="1"/>
      </left>
      <right style="thin">
        <color auto="1"/>
      </right>
      <top style="none"/>
      <bottom style="medium">
        <color auto="1"/>
      </bottom>
      <diagonal style="none"/>
    </border>
    <border>
      <left style="thin">
        <color auto="1"/>
      </left>
      <right style="medium">
        <color auto="1"/>
      </right>
      <top style="none"/>
      <bottom style="medium">
        <color auto="1"/>
      </bottom>
      <diagonal style="none"/>
    </border>
    <border>
      <left style="medium">
        <color auto="1"/>
      </left>
      <right style="medium">
        <color auto="1"/>
      </right>
      <top style="none"/>
      <bottom style="medium">
        <color auto="1"/>
      </bottom>
      <diagonal style="none"/>
    </border>
    <border>
      <left style="thin">
        <color auto="1"/>
      </left>
      <right style="thin">
        <color auto="1"/>
      </right>
      <top style="medium">
        <color auto="1"/>
      </top>
      <bottom style="thin">
        <color auto="1"/>
      </bottom>
      <diagonal style="none"/>
    </border>
    <border>
      <left style="medium">
        <color auto="1"/>
      </left>
      <right style="thin">
        <color auto="1"/>
      </right>
      <top style="medium">
        <color auto="1"/>
      </top>
      <bottom style="medium">
        <color auto="1"/>
      </bottom>
      <diagonal style="none"/>
    </border>
    <border>
      <left style="thin">
        <color auto="1"/>
      </left>
      <right style="thin">
        <color auto="1"/>
      </right>
      <top style="medium">
        <color auto="1"/>
      </top>
      <bottom style="medium">
        <color auto="1"/>
      </bottom>
      <diagonal style="none"/>
    </border>
    <border>
      <left style="thin">
        <color auto="1"/>
      </left>
      <right style="medium">
        <color auto="1"/>
      </right>
      <top style="medium">
        <color auto="1"/>
      </top>
      <bottom style="medium">
        <color auto="1"/>
      </bottom>
      <diagonal style="none"/>
    </border>
    <border>
      <left style="medium">
        <color auto="1"/>
      </left>
      <right style="medium">
        <color auto="1"/>
      </right>
      <top style="thin">
        <color auto="1"/>
      </top>
      <bottom style="thin">
        <color auto="1"/>
      </bottom>
      <diagonal style="none"/>
    </border>
    <border>
      <left style="thin">
        <color auto="1"/>
      </left>
      <right style="thin">
        <color auto="1"/>
      </right>
      <top style="thin">
        <color auto="1"/>
      </top>
      <bottom style="medium">
        <color auto="1"/>
      </bottom>
      <diagonal style="none"/>
    </border>
    <border>
      <left style="thin">
        <color auto="1"/>
      </left>
      <right style="thin">
        <color auto="1"/>
      </right>
      <top style="none"/>
      <bottom style="medium">
        <color auto="1"/>
      </bottom>
      <diagonal style="none"/>
    </border>
    <border>
      <left style="medium">
        <color auto="1"/>
      </left>
      <right style="thin">
        <color auto="1"/>
      </right>
      <top style="none"/>
      <bottom style="thin">
        <color auto="1"/>
      </bottom>
      <diagonal style="none"/>
    </border>
    <border>
      <left style="thin">
        <color auto="1"/>
      </left>
      <right style="thin">
        <color auto="1"/>
      </right>
      <top style="none"/>
      <bottom style="thin">
        <color auto="1"/>
      </bottom>
      <diagonal style="none"/>
    </border>
    <border>
      <left style="thin">
        <color auto="1"/>
      </left>
      <right style="medium">
        <color auto="1"/>
      </right>
      <top style="none"/>
      <bottom style="thin">
        <color auto="1"/>
      </bottom>
      <diagonal style="none"/>
    </border>
    <border>
      <left style="medium">
        <color auto="1"/>
      </left>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thin">
        <color auto="1"/>
      </left>
      <right style="medium">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medium">
        <color auto="1"/>
      </right>
      <top style="thin">
        <color auto="1"/>
      </top>
      <bottom style="none"/>
      <diagonal style="none"/>
    </border>
    <border>
      <left style="medium">
        <color auto="1"/>
      </left>
      <right style="medium">
        <color auto="1"/>
      </right>
      <top style="thin">
        <color auto="1"/>
      </top>
      <bottom style="medium">
        <color auto="1"/>
      </bottom>
      <diagonal style="none"/>
    </border>
    <border>
      <left style="none"/>
      <right style="thin">
        <color auto="1"/>
      </right>
      <top style="none"/>
      <bottom style="medium">
        <color auto="1"/>
      </bottom>
      <diagonal style="none"/>
    </border>
    <border>
      <left style="none"/>
      <right style="thin">
        <color auto="1"/>
      </right>
      <top style="none"/>
      <bottom style="thin">
        <color auto="1"/>
      </bottom>
      <diagonal style="none"/>
    </border>
    <border>
      <left style="none"/>
      <right style="thin">
        <color auto="1"/>
      </right>
      <top style="none"/>
      <bottom style="none"/>
      <diagonal style="none"/>
    </border>
    <border>
      <left style="medium">
        <color auto="1"/>
      </left>
      <right style="thin">
        <color auto="1"/>
      </right>
      <top style="none"/>
      <bottom style="none"/>
      <diagonal style="none"/>
    </border>
    <border>
      <left style="thin">
        <color auto="1"/>
      </left>
      <right style="thin">
        <color auto="1"/>
      </right>
      <top style="none"/>
      <bottom style="none"/>
      <diagonal style="none"/>
    </border>
    <border>
      <left style="thin">
        <color auto="1"/>
      </left>
      <right style="medium">
        <color auto="1"/>
      </right>
      <top style="none"/>
      <bottom style="none"/>
      <diagonal style="none"/>
    </border>
    <border>
      <left style="medium">
        <color auto="1"/>
      </left>
      <right style="none"/>
      <top style="medium">
        <color auto="1"/>
      </top>
      <bottom style="thin">
        <color auto="1"/>
      </bottom>
      <diagonal style="none"/>
    </border>
    <border>
      <left style="none"/>
      <right style="none"/>
      <top style="medium">
        <color auto="1"/>
      </top>
      <bottom style="thin">
        <color auto="1"/>
      </bottom>
      <diagonal style="none"/>
    </border>
    <border>
      <left style="none"/>
      <right style="medium">
        <color auto="1"/>
      </right>
      <top style="medium">
        <color auto="1"/>
      </top>
      <bottom style="thin">
        <color auto="1"/>
      </bottom>
      <diagonal style="none"/>
    </border>
    <border>
      <left style="medium">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medium">
        <color auto="1"/>
      </right>
      <top style="thin">
        <color auto="1"/>
      </top>
      <bottom style="thin">
        <color auto="1"/>
      </bottom>
      <diagonal style="none"/>
    </border>
    <border>
      <left style="medium">
        <color auto="1"/>
      </left>
      <right style="none"/>
      <top style="none"/>
      <bottom style="medium">
        <color auto="1"/>
      </bottom>
      <diagonal style="none"/>
    </border>
    <border>
      <left style="none"/>
      <right style="none"/>
      <top style="none"/>
      <bottom style="medium">
        <color auto="1"/>
      </bottom>
      <diagonal style="none"/>
    </border>
    <border>
      <left style="none"/>
      <right style="medium">
        <color auto="1"/>
      </right>
      <top style="none"/>
      <bottom style="medium">
        <color auto="1"/>
      </bottom>
      <diagonal style="none"/>
    </border>
    <border>
      <left style="none"/>
      <right style="thin">
        <color auto="1"/>
      </right>
      <top style="medium">
        <color auto="1"/>
      </top>
      <bottom style="medium">
        <color auto="1"/>
      </bottom>
      <diagonal style="none"/>
    </border>
    <border>
      <left style="medium">
        <color auto="1"/>
      </left>
      <right style="none"/>
      <top style="none"/>
      <bottom style="thin">
        <color auto="1"/>
      </bottom>
      <diagonal style="none"/>
    </border>
    <border>
      <left style="medium">
        <color auto="1"/>
      </left>
      <right style="none"/>
      <top style="thin">
        <color auto="1"/>
      </top>
      <bottom style="none"/>
      <diagonal style="none"/>
    </border>
    <border>
      <left style="none"/>
      <right style="thin">
        <color theme="4" tint="0.39997558519241921"/>
      </right>
      <top style="none"/>
      <bottom style="none"/>
      <diagonal style="none"/>
    </border>
    <border>
      <left style="none"/>
      <right style="none"/>
      <top style="thin">
        <color theme="4" tint="0.39997558519241921"/>
      </top>
      <bottom style="none"/>
      <diagonal style="none"/>
    </border>
    <border>
      <left style="none"/>
      <right style="thin">
        <color theme="4" tint="0.39997558519241921"/>
      </right>
      <top style="thin">
        <color theme="4" tint="0.39997558519241921"/>
      </top>
      <bottom style="none"/>
      <diagonal style="none"/>
    </border>
    <border>
      <left style="none"/>
      <right style="none"/>
      <top style="thin">
        <color theme="4" tint="0.39997558519241921"/>
      </top>
      <bottom style="thin">
        <color theme="4" tint="0.39997558519241921"/>
      </bottom>
      <diagonal style="none"/>
    </border>
    <border>
      <left style="none"/>
      <right style="thin">
        <color theme="4" tint="0.39997558519241921"/>
      </right>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none"/>
      <diagonal style="none"/>
    </border>
    <border>
      <left style="thin">
        <color theme="4" tint="0.39997558519241921"/>
      </left>
      <right style="none"/>
      <top style="thin">
        <color theme="4" tint="0.39997558519241921"/>
      </top>
      <bottom style="thin">
        <color theme="4" tint="0.39997558519241921"/>
      </bottom>
      <diagonal style="none"/>
    </border>
  </borders>
  <cellStyleXfs count="1">
    <xf fontId="0" fillId="0" borderId="0" numFmtId="0" applyNumberFormat="1" applyFont="1" applyFill="1" applyBorder="1"/>
  </cellStyleXfs>
  <cellXfs count="197">
    <xf fontId="0" fillId="0" borderId="0" numFmtId="0" xfId="0"/>
    <xf fontId="0" fillId="0" borderId="0" numFmtId="0" xfId="0" applyAlignment="1">
      <alignment horizontal="center" vertical="center"/>
    </xf>
    <xf fontId="1" fillId="2" borderId="1" numFmtId="0" xfId="0" applyFont="1" applyFill="1" applyBorder="1" applyAlignment="1">
      <alignment horizontal="center" vertical="center"/>
    </xf>
    <xf fontId="1" fillId="2" borderId="2" numFmtId="0" xfId="0" applyFont="1" applyFill="1" applyBorder="1" applyAlignment="1">
      <alignment horizontal="center" vertical="center"/>
    </xf>
    <xf fontId="1" fillId="2" borderId="3" numFmtId="0" xfId="0" applyFont="1" applyFill="1" applyBorder="1" applyAlignment="1">
      <alignment horizontal="center" vertical="center"/>
    </xf>
    <xf fontId="0" fillId="3" borderId="0" numFmtId="0" xfId="0" applyFill="1" applyAlignment="1">
      <alignment horizontal="center" vertical="center"/>
    </xf>
    <xf fontId="2" fillId="3" borderId="0" numFmtId="0" xfId="0" applyFont="1" applyFill="1" applyAlignment="1">
      <alignment horizontal="center" vertical="center"/>
    </xf>
    <xf fontId="1" fillId="4" borderId="4" numFmtId="0" xfId="0" applyFont="1" applyFill="1" applyBorder="1" applyAlignment="1">
      <alignment horizontal="center" vertical="center"/>
    </xf>
    <xf fontId="1" fillId="4" borderId="5" numFmtId="0" xfId="0" applyFont="1" applyFill="1" applyBorder="1" applyAlignment="1">
      <alignment horizontal="center" vertical="center"/>
    </xf>
    <xf fontId="1" fillId="4" borderId="6" numFmtId="0" xfId="0" applyFont="1" applyFill="1" applyBorder="1" applyAlignment="1">
      <alignment horizontal="center" vertical="center"/>
    </xf>
    <xf fontId="1" fillId="4" borderId="7" numFmtId="0" xfId="0" applyFont="1" applyFill="1" applyBorder="1" applyAlignment="1">
      <alignment horizontal="center" vertical="center"/>
    </xf>
    <xf fontId="3" fillId="5" borderId="8" numFmtId="0" xfId="0" applyFont="1" applyFill="1" applyBorder="1" applyAlignment="1">
      <alignment horizontal="center" vertical="center" wrapText="1"/>
    </xf>
    <xf fontId="2" fillId="0" borderId="9" numFmtId="0" xfId="0" applyFont="1" applyBorder="1" applyAlignment="1">
      <alignment horizontal="center" vertical="center" wrapText="1"/>
    </xf>
    <xf fontId="1" fillId="4" borderId="10" numFmtId="0" xfId="0" applyFont="1" applyFill="1" applyBorder="1" applyAlignment="1">
      <alignment horizontal="center" vertical="center"/>
    </xf>
    <xf fontId="0" fillId="0" borderId="11" numFmtId="0" xfId="0" applyBorder="1" applyAlignment="1">
      <alignment horizontal="center" vertical="center"/>
    </xf>
    <xf fontId="0" fillId="6" borderId="12" numFmtId="0" xfId="0" applyFill="1" applyBorder="1" applyAlignment="1">
      <alignment horizontal="center" vertical="center"/>
    </xf>
    <xf fontId="0" fillId="0" borderId="13" numFmtId="10" xfId="0" applyNumberFormat="1" applyBorder="1" applyAlignment="1">
      <alignment horizontal="center" vertical="center"/>
    </xf>
    <xf fontId="1" fillId="4" borderId="14" numFmtId="0" xfId="0" applyFont="1" applyFill="1" applyBorder="1" applyAlignment="1">
      <alignment horizontal="center" vertical="center"/>
    </xf>
    <xf fontId="0" fillId="0" borderId="14" numFmtId="10" xfId="0" applyNumberFormat="1" applyBorder="1" applyAlignment="1">
      <alignment horizontal="center" vertical="center"/>
    </xf>
    <xf fontId="4" fillId="4" borderId="7" numFmtId="0" xfId="0" applyFont="1" applyFill="1" applyBorder="1" applyAlignment="1">
      <alignment horizontal="center" vertical="center" wrapText="1"/>
    </xf>
    <xf fontId="0" fillId="0" borderId="10" numFmtId="0" xfId="0" applyBorder="1" applyAlignment="1">
      <alignment horizontal="center" vertical="center"/>
    </xf>
    <xf fontId="0" fillId="7" borderId="7" numFmtId="0" xfId="0" applyFill="1" applyBorder="1" applyAlignment="1">
      <alignment horizontal="center" vertical="center"/>
    </xf>
    <xf fontId="1" fillId="8" borderId="7" numFmtId="0" xfId="0" applyFont="1" applyFill="1" applyBorder="1" applyAlignment="1">
      <alignment horizontal="center" vertical="center"/>
    </xf>
    <xf fontId="1" fillId="8" borderId="4" numFmtId="0" xfId="0" applyFont="1" applyFill="1" applyBorder="1" applyAlignment="1">
      <alignment horizontal="center" vertical="center"/>
    </xf>
    <xf fontId="5" fillId="8" borderId="15" numFmtId="0" xfId="0" applyFont="1" applyFill="1" applyBorder="1" applyAlignment="1">
      <alignment horizontal="center" vertical="center" wrapText="1"/>
    </xf>
    <xf fontId="6" fillId="8" borderId="5" numFmtId="0" xfId="0" applyFont="1" applyFill="1" applyBorder="1" applyAlignment="1">
      <alignment horizontal="center" vertical="center" wrapText="1"/>
    </xf>
    <xf fontId="2" fillId="9" borderId="16" numFmtId="0" xfId="0" applyFont="1" applyFill="1" applyBorder="1" applyAlignment="1">
      <alignment horizontal="center" vertical="center"/>
    </xf>
    <xf fontId="2" fillId="9" borderId="17" numFmtId="0" xfId="0" applyFont="1" applyFill="1" applyBorder="1" applyAlignment="1">
      <alignment horizontal="center" vertical="center"/>
    </xf>
    <xf fontId="2" fillId="9" borderId="18" numFmtId="0" xfId="0" applyFont="1" applyFill="1" applyBorder="1" applyAlignment="1">
      <alignment horizontal="center" vertical="center"/>
    </xf>
    <xf fontId="1" fillId="8" borderId="19" numFmtId="0" xfId="0" applyFont="1" applyFill="1" applyBorder="1" applyAlignment="1">
      <alignment horizontal="center" vertical="center"/>
    </xf>
    <xf fontId="1" fillId="9" borderId="8" numFmtId="0" xfId="0" applyFont="1" applyFill="1" applyBorder="1" applyAlignment="1">
      <alignment horizontal="center" vertical="center"/>
    </xf>
    <xf fontId="1" fillId="9" borderId="20" numFmtId="0" xfId="0" applyFont="1" applyFill="1" applyBorder="1" applyAlignment="1">
      <alignment horizontal="center" vertical="center"/>
    </xf>
    <xf fontId="1" fillId="9" borderId="9" numFmtId="0" xfId="0" applyFont="1" applyFill="1" applyBorder="1" applyAlignment="1">
      <alignment horizontal="center" vertical="center"/>
    </xf>
    <xf fontId="3" fillId="10" borderId="12" numFmtId="0" xfId="0" applyFont="1" applyFill="1" applyBorder="1" applyAlignment="1">
      <alignment horizontal="center" vertical="center" wrapText="1"/>
    </xf>
    <xf fontId="3" fillId="0" borderId="21" numFmtId="0" xfId="0" applyFont="1" applyBorder="1" applyAlignment="1">
      <alignment horizontal="center" vertical="center" wrapText="1"/>
    </xf>
    <xf fontId="3" fillId="10" borderId="21" numFmtId="0" xfId="0" applyFont="1" applyFill="1" applyBorder="1" applyAlignment="1">
      <alignment horizontal="center" vertical="center"/>
    </xf>
    <xf fontId="3" fillId="0" borderId="21" numFmtId="0" xfId="0" applyFont="1" applyBorder="1" applyAlignment="1">
      <alignment horizontal="center" vertical="center"/>
    </xf>
    <xf fontId="3" fillId="10" borderId="21" numFmtId="0" xfId="0" applyFont="1" applyFill="1" applyBorder="1" applyAlignment="1">
      <alignment horizontal="center" vertical="center" wrapText="1"/>
    </xf>
    <xf fontId="3" fillId="10" borderId="13" numFmtId="0" xfId="0" applyFont="1" applyFill="1" applyBorder="1" applyAlignment="1">
      <alignment horizontal="center" vertical="center"/>
    </xf>
    <xf fontId="7" fillId="0" borderId="4" numFmtId="0" xfId="0" applyFont="1" applyBorder="1" applyAlignment="1">
      <alignment horizontal="center" vertical="center"/>
    </xf>
    <xf fontId="7" fillId="0" borderId="15" numFmtId="1" xfId="0" applyNumberFormat="1" applyFont="1" applyBorder="1" applyAlignment="1">
      <alignment horizontal="center" vertical="center"/>
    </xf>
    <xf fontId="0" fillId="0" borderId="5" numFmtId="10" xfId="0" applyNumberFormat="1" applyBorder="1" applyAlignment="1">
      <alignment horizontal="center" vertical="center"/>
    </xf>
    <xf fontId="0" fillId="11" borderId="22" numFmtId="0" xfId="0" applyFill="1" applyBorder="1" applyAlignment="1">
      <alignment horizontal="center" vertical="center"/>
    </xf>
    <xf fontId="0" fillId="0" borderId="23" numFmtId="0" xfId="0" applyBorder="1" applyAlignment="1">
      <alignment horizontal="center" vertical="center"/>
    </xf>
    <xf fontId="0" fillId="11" borderId="23" numFmtId="0" xfId="0" applyFill="1" applyBorder="1" applyAlignment="1">
      <alignment horizontal="center" vertical="center"/>
    </xf>
    <xf fontId="0" fillId="11" borderId="24" numFmtId="0" xfId="0" applyFill="1" applyBorder="1" applyAlignment="1">
      <alignment horizontal="center" vertical="center"/>
    </xf>
    <xf fontId="7" fillId="12" borderId="25" numFmtId="0" xfId="0" applyFont="1" applyFill="1" applyBorder="1" applyAlignment="1">
      <alignment horizontal="center" vertical="center"/>
    </xf>
    <xf fontId="7" fillId="12" borderId="23" numFmtId="1" xfId="0" applyNumberFormat="1" applyFont="1" applyFill="1" applyBorder="1" applyAlignment="1">
      <alignment horizontal="center" vertical="center"/>
    </xf>
    <xf fontId="0" fillId="12" borderId="24" numFmtId="10" xfId="0" applyNumberFormat="1" applyFill="1" applyBorder="1" applyAlignment="1">
      <alignment horizontal="center" vertical="center"/>
    </xf>
    <xf fontId="0" fillId="11" borderId="25" numFmtId="0" xfId="0" applyFill="1" applyBorder="1" applyAlignment="1">
      <alignment horizontal="center" vertical="center"/>
    </xf>
    <xf fontId="0" fillId="12" borderId="26" numFmtId="0" xfId="0" applyFill="1" applyBorder="1" applyAlignment="1">
      <alignment horizontal="center" vertical="center"/>
    </xf>
    <xf fontId="0" fillId="11" borderId="26" numFmtId="0" xfId="0" applyFill="1" applyBorder="1" applyAlignment="1">
      <alignment horizontal="center" vertical="center"/>
    </xf>
    <xf fontId="0" fillId="11" borderId="27" numFmtId="0" xfId="0" applyFill="1" applyBorder="1" applyAlignment="1">
      <alignment horizontal="center" vertical="center"/>
    </xf>
    <xf fontId="7" fillId="0" borderId="25" numFmtId="0" xfId="0" applyFont="1" applyBorder="1" applyAlignment="1">
      <alignment horizontal="center" vertical="center"/>
    </xf>
    <xf fontId="7" fillId="0" borderId="26" numFmtId="1" xfId="0" applyNumberFormat="1" applyFont="1" applyBorder="1" applyAlignment="1">
      <alignment horizontal="center" vertical="center"/>
    </xf>
    <xf fontId="0" fillId="0" borderId="27" numFmtId="10" xfId="0" applyNumberFormat="1" applyBorder="1" applyAlignment="1">
      <alignment horizontal="center" vertical="center"/>
    </xf>
    <xf fontId="0" fillId="0" borderId="26" numFmtId="0" xfId="0" applyBorder="1" applyAlignment="1">
      <alignment horizontal="center" vertical="center"/>
    </xf>
    <xf fontId="7" fillId="12" borderId="26" numFmtId="1" xfId="0" applyNumberFormat="1" applyFont="1" applyFill="1" applyBorder="1" applyAlignment="1">
      <alignment horizontal="center" vertical="center"/>
    </xf>
    <xf fontId="0" fillId="12" borderId="27" numFmtId="10" xfId="0" applyNumberFormat="1" applyFill="1" applyBorder="1" applyAlignment="1">
      <alignment horizontal="center" vertical="center"/>
    </xf>
    <xf fontId="7" fillId="0" borderId="22" numFmtId="0" xfId="0" applyFont="1" applyBorder="1" applyAlignment="1">
      <alignment horizontal="center" vertical="center"/>
    </xf>
    <xf fontId="7" fillId="0" borderId="28" numFmtId="1" xfId="0" applyNumberFormat="1" applyFont="1" applyBorder="1" applyAlignment="1">
      <alignment horizontal="center" vertical="center"/>
    </xf>
    <xf fontId="0" fillId="0" borderId="29" numFmtId="10" xfId="0" applyNumberFormat="1" applyBorder="1" applyAlignment="1">
      <alignment horizontal="center" vertical="center"/>
    </xf>
    <xf fontId="0" fillId="11" borderId="8" numFmtId="0" xfId="0" applyFill="1" applyBorder="1" applyAlignment="1">
      <alignment horizontal="center" vertical="center"/>
    </xf>
    <xf fontId="0" fillId="0" borderId="20" numFmtId="0" xfId="0" applyBorder="1" applyAlignment="1">
      <alignment horizontal="center" vertical="center"/>
    </xf>
    <xf fontId="0" fillId="11" borderId="20" numFmtId="0" xfId="0" applyFill="1" applyBorder="1" applyAlignment="1">
      <alignment horizontal="center" vertical="center"/>
    </xf>
    <xf fontId="0" fillId="11" borderId="9" numFmtId="0" xfId="0" applyFill="1" applyBorder="1" applyAlignment="1">
      <alignment horizontal="center" vertical="center"/>
    </xf>
    <xf fontId="1" fillId="8" borderId="30" numFmtId="0" xfId="0" applyFont="1" applyFill="1" applyBorder="1" applyAlignment="1">
      <alignment horizontal="center" vertical="center"/>
    </xf>
    <xf fontId="1" fillId="8" borderId="16" numFmtId="0" xfId="0" applyFont="1" applyFill="1" applyBorder="1" applyAlignment="1">
      <alignment horizontal="center" vertical="center"/>
    </xf>
    <xf fontId="1" fillId="8" borderId="17" numFmtId="1" xfId="0" applyNumberFormat="1" applyFont="1" applyFill="1" applyBorder="1" applyAlignment="1">
      <alignment horizontal="center" vertical="center"/>
    </xf>
    <xf fontId="1" fillId="8" borderId="18" numFmtId="10" xfId="0" applyNumberFormat="1" applyFont="1" applyFill="1" applyBorder="1" applyAlignment="1">
      <alignment horizontal="center" vertical="center"/>
    </xf>
    <xf fontId="2" fillId="0" borderId="16" numFmtId="0" xfId="0" applyFont="1" applyBorder="1" applyAlignment="1">
      <alignment horizontal="center" vertical="center"/>
    </xf>
    <xf fontId="2" fillId="0" borderId="17" numFmtId="0" xfId="0" applyFont="1" applyBorder="1" applyAlignment="1">
      <alignment horizontal="center" vertical="center"/>
    </xf>
    <xf fontId="2" fillId="0" borderId="18" numFmtId="0" xfId="0" applyFont="1" applyBorder="1" applyAlignment="1">
      <alignment horizontal="center" vertical="center"/>
    </xf>
    <xf fontId="2" fillId="0" borderId="31" numFmtId="0" xfId="0" applyFont="1" applyBorder="1" applyAlignment="1">
      <alignment horizontal="center" vertical="center" wrapText="1"/>
    </xf>
    <xf fontId="2" fillId="0" borderId="21" numFmtId="0" xfId="0" applyFont="1" applyBorder="1" applyAlignment="1">
      <alignment horizontal="center" vertical="center" wrapText="1"/>
    </xf>
    <xf fontId="2" fillId="0" borderId="13" numFmtId="0" xfId="0" applyFont="1" applyBorder="1" applyAlignment="1">
      <alignment horizontal="center" vertical="center" wrapText="1"/>
    </xf>
    <xf fontId="0" fillId="0" borderId="22" numFmtId="0" xfId="0" applyBorder="1" applyAlignment="1">
      <alignment horizontal="center" vertical="center"/>
    </xf>
    <xf fontId="0" fillId="0" borderId="24" numFmtId="0" xfId="0" applyBorder="1" applyAlignment="1">
      <alignment horizontal="center" vertical="center"/>
    </xf>
    <xf fontId="0" fillId="0" borderId="32" numFmtId="2" xfId="0" applyNumberFormat="1" applyBorder="1" applyAlignment="1">
      <alignment horizontal="center" vertical="center"/>
    </xf>
    <xf fontId="0" fillId="0" borderId="23" numFmtId="2" xfId="0" applyNumberFormat="1" applyBorder="1" applyAlignment="1">
      <alignment horizontal="center" vertical="center"/>
    </xf>
    <xf fontId="0" fillId="0" borderId="24" numFmtId="2" xfId="0" applyNumberFormat="1" applyBorder="1" applyAlignment="1">
      <alignment horizontal="center" vertical="center"/>
    </xf>
    <xf fontId="0" fillId="0" borderId="25" numFmtId="0" xfId="0" applyBorder="1" applyAlignment="1">
      <alignment horizontal="center" vertical="center"/>
    </xf>
    <xf fontId="0" fillId="0" borderId="27" numFmtId="0" xfId="0" applyBorder="1" applyAlignment="1">
      <alignment horizontal="center" vertical="center"/>
    </xf>
    <xf fontId="0" fillId="0" borderId="27" numFmtId="2" xfId="0" applyNumberFormat="1" applyBorder="1" applyAlignment="1">
      <alignment horizontal="center" vertical="center"/>
    </xf>
    <xf fontId="0" fillId="0" borderId="33" numFmtId="2" xfId="0" applyNumberFormat="1" applyBorder="1" applyAlignment="1">
      <alignment horizontal="center" vertical="center"/>
    </xf>
    <xf fontId="0" fillId="0" borderId="28" numFmtId="0" xfId="0" applyBorder="1" applyAlignment="1">
      <alignment horizontal="center" vertical="center"/>
    </xf>
    <xf fontId="0" fillId="0" borderId="29" numFmtId="2" xfId="0" applyNumberFormat="1" applyBorder="1" applyAlignment="1">
      <alignment horizontal="center" vertical="center"/>
    </xf>
    <xf fontId="0" fillId="0" borderId="16" numFmtId="2" xfId="0" applyNumberFormat="1" applyBorder="1" applyAlignment="1">
      <alignment horizontal="center" vertical="center"/>
    </xf>
    <xf fontId="0" fillId="0" borderId="17" numFmtId="2" xfId="0" applyNumberFormat="1" applyBorder="1" applyAlignment="1">
      <alignment horizontal="center" vertical="center"/>
    </xf>
    <xf fontId="0" fillId="0" borderId="18" numFmtId="2" xfId="0" applyNumberFormat="1" applyBorder="1" applyAlignment="1">
      <alignment horizontal="center" vertical="center"/>
    </xf>
    <xf fontId="0" fillId="11" borderId="17" numFmtId="2" xfId="0" applyNumberFormat="1" applyFill="1" applyBorder="1" applyAlignment="1">
      <alignment horizontal="center" vertical="center"/>
    </xf>
    <xf fontId="0" fillId="11" borderId="18" numFmtId="2" xfId="0" applyNumberFormat="1" applyFill="1" applyBorder="1" applyAlignment="1">
      <alignment horizontal="center" vertical="center"/>
    </xf>
    <xf fontId="2" fillId="0" borderId="1" numFmtId="0" xfId="0" applyFont="1" applyBorder="1" applyAlignment="1">
      <alignment horizontal="center" vertical="center"/>
    </xf>
    <xf fontId="2" fillId="0" borderId="2" numFmtId="0" xfId="0" applyFont="1" applyBorder="1" applyAlignment="1">
      <alignment horizontal="center" vertical="center"/>
    </xf>
    <xf fontId="2" fillId="0" borderId="3" numFmtId="0" xfId="0" applyFont="1" applyBorder="1" applyAlignment="1">
      <alignment horizontal="center" vertical="center"/>
    </xf>
    <xf fontId="2" fillId="0" borderId="34" numFmtId="0" xfId="0" applyFont="1" applyBorder="1" applyAlignment="1">
      <alignment horizontal="center" vertical="center" wrapText="1"/>
    </xf>
    <xf fontId="2" fillId="0" borderId="35" numFmtId="0" xfId="0" applyFont="1" applyBorder="1" applyAlignment="1">
      <alignment horizontal="center" vertical="center" wrapText="1"/>
    </xf>
    <xf fontId="2" fillId="0" borderId="36" numFmtId="0" xfId="0" applyFont="1" applyBorder="1" applyAlignment="1">
      <alignment horizontal="center" vertical="center" wrapText="1"/>
    </xf>
    <xf fontId="3" fillId="0" borderId="6" numFmtId="0" xfId="0" applyFont="1" applyBorder="1" applyAlignment="1">
      <alignment horizontal="center" textRotation="90" vertical="center" wrapText="1"/>
    </xf>
    <xf fontId="2" fillId="0" borderId="37" numFmtId="0" xfId="0" applyFont="1" applyBorder="1" applyAlignment="1">
      <alignment horizontal="center" vertical="center"/>
    </xf>
    <xf fontId="2" fillId="0" borderId="38" numFmtId="0" xfId="0" applyFont="1" applyBorder="1" applyAlignment="1">
      <alignment horizontal="center" vertical="center"/>
    </xf>
    <xf fontId="2" fillId="0" borderId="39" numFmtId="0" xfId="0" applyFont="1" applyBorder="1" applyAlignment="1">
      <alignment horizontal="center" vertical="center"/>
    </xf>
    <xf fontId="0" fillId="0" borderId="4" numFmtId="2" xfId="0" applyNumberFormat="1" applyBorder="1" applyAlignment="1">
      <alignment horizontal="center" vertical="center"/>
    </xf>
    <xf fontId="0" fillId="0" borderId="15" numFmtId="2" xfId="0" applyNumberFormat="1" applyBorder="1" applyAlignment="1">
      <alignment horizontal="center" vertical="center"/>
    </xf>
    <xf fontId="0" fillId="0" borderId="5" numFmtId="2" xfId="0" applyNumberFormat="1" applyBorder="1" applyAlignment="1">
      <alignment horizontal="center" vertical="center"/>
    </xf>
    <xf fontId="3" fillId="0" borderId="10" numFmtId="0" xfId="0" applyFont="1" applyBorder="1" applyAlignment="1">
      <alignment horizontal="center" textRotation="90" vertical="center"/>
    </xf>
    <xf fontId="2" fillId="0" borderId="40" numFmtId="0" xfId="0" applyFont="1" applyBorder="1" applyAlignment="1">
      <alignment horizontal="center" vertical="center"/>
    </xf>
    <xf fontId="2" fillId="0" borderId="41" numFmtId="0" xfId="0" applyFont="1" applyBorder="1" applyAlignment="1">
      <alignment horizontal="center" vertical="center"/>
    </xf>
    <xf fontId="2" fillId="0" borderId="42" numFmtId="0" xfId="0" applyFont="1" applyBorder="1" applyAlignment="1">
      <alignment horizontal="center" vertical="center"/>
    </xf>
    <xf fontId="0" fillId="0" borderId="25" numFmtId="2" xfId="0" applyNumberFormat="1" applyBorder="1" applyAlignment="1">
      <alignment horizontal="center" vertical="center"/>
    </xf>
    <xf fontId="0" fillId="0" borderId="26" numFmtId="2" xfId="0" applyNumberFormat="1" applyBorder="1" applyAlignment="1">
      <alignment horizontal="center" vertical="center"/>
    </xf>
    <xf fontId="3" fillId="0" borderId="14" numFmtId="0" xfId="0" applyFont="1" applyBorder="1" applyAlignment="1">
      <alignment horizontal="center" textRotation="90" vertical="center"/>
    </xf>
    <xf fontId="2" fillId="0" borderId="43" numFmtId="0" xfId="0" applyFont="1" applyBorder="1" applyAlignment="1">
      <alignment horizontal="center" vertical="center"/>
    </xf>
    <xf fontId="2" fillId="0" borderId="44" numFmtId="0" xfId="0" applyFont="1" applyBorder="1" applyAlignment="1">
      <alignment horizontal="center" vertical="center"/>
    </xf>
    <xf fontId="2" fillId="0" borderId="45" numFmtId="0" xfId="0" applyFont="1" applyBorder="1" applyAlignment="1">
      <alignment horizontal="center" vertical="center"/>
    </xf>
    <xf fontId="0" fillId="0" borderId="12" numFmtId="2" xfId="0" applyNumberFormat="1" applyBorder="1" applyAlignment="1">
      <alignment horizontal="center" vertical="center"/>
    </xf>
    <xf fontId="0" fillId="0" borderId="21" numFmtId="2" xfId="0" applyNumberFormat="1" applyBorder="1" applyAlignment="1">
      <alignment horizontal="center" vertical="center"/>
    </xf>
    <xf fontId="0" fillId="0" borderId="13" numFmtId="2" xfId="0" applyNumberFormat="1" applyBorder="1" applyAlignment="1">
      <alignment horizontal="center" vertical="center"/>
    </xf>
    <xf fontId="0" fillId="13" borderId="15" numFmtId="2" xfId="0" applyNumberFormat="1" applyFill="1" applyBorder="1" applyAlignment="1">
      <alignment horizontal="center" vertical="center"/>
    </xf>
    <xf fontId="0" fillId="13" borderId="5" numFmtId="2" xfId="0" applyNumberFormat="1" applyFill="1" applyBorder="1" applyAlignment="1">
      <alignment horizontal="center" vertical="center"/>
    </xf>
    <xf fontId="0" fillId="13" borderId="26" numFmtId="2" xfId="0" applyNumberFormat="1" applyFill="1" applyBorder="1" applyAlignment="1">
      <alignment horizontal="center" vertical="center"/>
    </xf>
    <xf fontId="0" fillId="13" borderId="27" numFmtId="2" xfId="0" applyNumberFormat="1" applyFill="1" applyBorder="1" applyAlignment="1">
      <alignment horizontal="center" vertical="center"/>
    </xf>
    <xf fontId="0" fillId="13" borderId="21" numFmtId="2" xfId="0" applyNumberFormat="1" applyFill="1" applyBorder="1" applyAlignment="1">
      <alignment horizontal="center" vertical="center"/>
    </xf>
    <xf fontId="0" fillId="13" borderId="13" numFmtId="2" xfId="0" applyNumberFormat="1" applyFill="1" applyBorder="1" applyAlignment="1">
      <alignment horizontal="center" vertical="center"/>
    </xf>
    <xf fontId="3" fillId="14" borderId="16" numFmtId="0" xfId="0" applyFont="1" applyFill="1" applyBorder="1" applyAlignment="1">
      <alignment horizontal="center" vertical="center"/>
    </xf>
    <xf fontId="3" fillId="14" borderId="17" numFmtId="0" xfId="0" applyFont="1" applyFill="1" applyBorder="1" applyAlignment="1">
      <alignment horizontal="center" vertical="center"/>
    </xf>
    <xf fontId="3" fillId="14" borderId="18" numFmtId="0" xfId="0" applyFont="1" applyFill="1" applyBorder="1" applyAlignment="1">
      <alignment horizontal="center" vertical="center"/>
    </xf>
    <xf fontId="8" fillId="15" borderId="22" numFmtId="0" xfId="0" applyFont="1" applyFill="1" applyBorder="1" applyAlignment="1">
      <alignment horizontal="center" vertical="center"/>
    </xf>
    <xf fontId="8" fillId="0" borderId="23" numFmtId="0" xfId="0" applyFont="1" applyBorder="1" applyAlignment="1">
      <alignment horizontal="center" vertical="center"/>
    </xf>
    <xf fontId="8" fillId="15" borderId="23" numFmtId="0" xfId="0" applyFont="1" applyFill="1" applyBorder="1" applyAlignment="1">
      <alignment horizontal="center" vertical="center"/>
    </xf>
    <xf fontId="8" fillId="15" borderId="24" numFmtId="0" xfId="0" applyFont="1" applyFill="1" applyBorder="1" applyAlignment="1">
      <alignment horizontal="center" vertical="center"/>
    </xf>
    <xf fontId="8" fillId="13" borderId="8" numFmtId="0" xfId="0" applyFont="1" applyFill="1" applyBorder="1" applyAlignment="1">
      <alignment horizontal="center" vertical="center"/>
    </xf>
    <xf fontId="8" fillId="0" borderId="20" numFmtId="0" xfId="0" applyFont="1" applyBorder="1" applyAlignment="1">
      <alignment horizontal="center" vertical="center"/>
    </xf>
    <xf fontId="8" fillId="13" borderId="20" numFmtId="0" xfId="0" applyFont="1" applyFill="1" applyBorder="1" applyAlignment="1">
      <alignment horizontal="center" vertical="center"/>
    </xf>
    <xf fontId="8" fillId="13" borderId="9" numFmtId="0" xfId="0" applyFont="1" applyFill="1" applyBorder="1" applyAlignment="1">
      <alignment horizontal="center" vertical="center"/>
    </xf>
    <xf fontId="1" fillId="16" borderId="6" numFmtId="0" xfId="0" applyFont="1" applyFill="1" applyBorder="1" applyAlignment="1">
      <alignment horizontal="center" vertical="center"/>
    </xf>
    <xf fontId="1" fillId="16" borderId="1" numFmtId="0" xfId="0" applyFont="1" applyFill="1" applyBorder="1" applyAlignment="1">
      <alignment horizontal="center" vertical="center"/>
    </xf>
    <xf fontId="1" fillId="16" borderId="18" numFmtId="0" xfId="0" applyFont="1" applyFill="1" applyBorder="1" applyAlignment="1">
      <alignment horizontal="center" vertical="center"/>
    </xf>
    <xf fontId="1" fillId="16" borderId="46" numFmtId="0" xfId="0" applyFont="1" applyFill="1" applyBorder="1" applyAlignment="1">
      <alignment horizontal="center" vertical="center"/>
    </xf>
    <xf fontId="1" fillId="16" borderId="17" numFmtId="0" xfId="0" applyFont="1" applyFill="1" applyBorder="1" applyAlignment="1">
      <alignment horizontal="center" vertical="center"/>
    </xf>
    <xf fontId="1" fillId="16" borderId="17" numFmtId="0" xfId="0" applyFont="1" applyFill="1" applyBorder="1" applyAlignment="1">
      <alignment horizontal="center" vertical="center" wrapText="1"/>
    </xf>
    <xf fontId="1" fillId="16" borderId="10" numFmtId="0" xfId="0" applyFont="1" applyFill="1" applyBorder="1" applyAlignment="1">
      <alignment horizontal="center" vertical="center"/>
    </xf>
    <xf fontId="0" fillId="0" borderId="47" numFmtId="0" xfId="0" applyBorder="1" applyAlignment="1">
      <alignment horizontal="center" vertical="center"/>
    </xf>
    <xf fontId="0" fillId="0" borderId="24" numFmtId="10" xfId="0" applyNumberFormat="1" applyBorder="1" applyAlignment="1">
      <alignment horizontal="center" vertical="center"/>
    </xf>
    <xf fontId="0" fillId="0" borderId="4" numFmtId="0" xfId="0" applyBorder="1" applyAlignment="1">
      <alignment horizontal="center" vertical="center"/>
    </xf>
    <xf fontId="0" fillId="0" borderId="15" numFmtId="0" xfId="0" applyBorder="1" applyAlignment="1">
      <alignment horizontal="center" vertical="center"/>
    </xf>
    <xf fontId="0" fillId="0" borderId="5" numFmtId="0" xfId="0" applyBorder="1" applyAlignment="1">
      <alignment horizontal="center" vertical="center"/>
    </xf>
    <xf fontId="0" fillId="12" borderId="40" numFmtId="0" xfId="0" applyFill="1" applyBorder="1" applyAlignment="1">
      <alignment horizontal="center" vertical="center"/>
    </xf>
    <xf fontId="0" fillId="0" borderId="40" numFmtId="0" xfId="0" applyBorder="1" applyAlignment="1">
      <alignment horizontal="center" vertical="center"/>
    </xf>
    <xf fontId="0" fillId="17" borderId="22" numFmtId="0" xfId="0" applyFill="1" applyBorder="1" applyAlignment="1">
      <alignment horizontal="center" vertical="center"/>
    </xf>
    <xf fontId="0" fillId="17" borderId="23" numFmtId="0" xfId="0" applyFill="1" applyBorder="1" applyAlignment="1">
      <alignment horizontal="center" vertical="center"/>
    </xf>
    <xf fontId="0" fillId="17" borderId="24" numFmtId="0" xfId="0" applyFill="1" applyBorder="1" applyAlignment="1">
      <alignment horizontal="center" vertical="center"/>
    </xf>
    <xf fontId="0" fillId="12" borderId="22" numFmtId="0" xfId="0" applyFill="1" applyBorder="1" applyAlignment="1">
      <alignment horizontal="center" vertical="center"/>
    </xf>
    <xf fontId="0" fillId="12" borderId="23" numFmtId="0" xfId="0" applyFill="1" applyBorder="1" applyAlignment="1">
      <alignment horizontal="center" vertical="center"/>
    </xf>
    <xf fontId="0" fillId="12" borderId="24" numFmtId="0" xfId="0" applyFill="1" applyBorder="1" applyAlignment="1">
      <alignment horizontal="center" vertical="center"/>
    </xf>
    <xf fontId="0" fillId="0" borderId="48" numFmtId="0" xfId="0" applyBorder="1" applyAlignment="1">
      <alignment horizontal="center" vertical="center"/>
    </xf>
    <xf fontId="0" fillId="18" borderId="12" numFmtId="0" xfId="0" applyFill="1" applyBorder="1" applyAlignment="1">
      <alignment horizontal="center" vertical="center"/>
    </xf>
    <xf fontId="0" fillId="18" borderId="21" numFmtId="0" xfId="0" applyFill="1" applyBorder="1" applyAlignment="1">
      <alignment horizontal="center" vertical="center"/>
    </xf>
    <xf fontId="0" fillId="18" borderId="20" numFmtId="0" xfId="0" applyFill="1" applyBorder="1" applyAlignment="1">
      <alignment horizontal="center" vertical="center"/>
    </xf>
    <xf fontId="0" fillId="18" borderId="13" numFmtId="0" xfId="0" applyFill="1" applyBorder="1" applyAlignment="1">
      <alignment horizontal="center" vertical="center"/>
    </xf>
    <xf fontId="1" fillId="16" borderId="18" numFmtId="10" xfId="0" applyNumberFormat="1" applyFont="1" applyFill="1" applyBorder="1" applyAlignment="1">
      <alignment horizontal="center" vertical="center"/>
    </xf>
    <xf fontId="1" fillId="16" borderId="14" numFmtId="0" xfId="0" applyFont="1" applyFill="1" applyBorder="1" applyAlignment="1">
      <alignment horizontal="center" vertical="center"/>
    </xf>
    <xf fontId="1" fillId="18" borderId="46" numFmtId="0" xfId="0" applyFont="1" applyFill="1" applyBorder="1" applyAlignment="1">
      <alignment horizontal="center" vertical="center"/>
    </xf>
    <xf fontId="1" fillId="18" borderId="17" numFmtId="0" xfId="0" applyFont="1" applyFill="1" applyBorder="1" applyAlignment="1">
      <alignment horizontal="center" vertical="center"/>
    </xf>
    <xf fontId="1" fillId="18" borderId="18" numFmtId="0" xfId="0" applyFont="1" applyFill="1" applyBorder="1" applyAlignment="1">
      <alignment horizontal="center" vertical="center"/>
    </xf>
    <xf fontId="3" fillId="0" borderId="0" numFmtId="0" xfId="0" applyFont="1" applyAlignment="1">
      <alignment horizontal="center" vertical="center"/>
    </xf>
    <xf fontId="8" fillId="0" borderId="0" numFmtId="0" xfId="0" applyFont="1" applyAlignment="1">
      <alignment horizontal="center" vertical="center"/>
    </xf>
    <xf fontId="8" fillId="0" borderId="0" numFmtId="10" xfId="0" applyNumberFormat="1" applyFont="1" applyAlignment="1">
      <alignment horizontal="center" vertical="center"/>
    </xf>
    <xf fontId="5" fillId="19" borderId="0" numFmtId="0" xfId="0" applyFont="1" applyFill="1" applyAlignment="1">
      <alignment horizontal="center" vertical="center"/>
    </xf>
    <xf fontId="9" fillId="19" borderId="0" numFmtId="0" xfId="0" applyFont="1" applyFill="1" applyAlignment="1">
      <alignment horizontal="center" vertical="center"/>
    </xf>
    <xf fontId="9" fillId="19" borderId="49" numFmtId="0" xfId="0" applyFont="1" applyFill="1" applyBorder="1" applyAlignment="1">
      <alignment horizontal="center" vertical="center"/>
    </xf>
    <xf fontId="10" fillId="19" borderId="49" numFmtId="0" xfId="0" applyFont="1" applyFill="1" applyBorder="1" applyAlignment="1">
      <alignment horizontal="center" vertical="center"/>
    </xf>
    <xf fontId="8" fillId="20" borderId="50" numFmtId="0" xfId="0" applyFont="1" applyFill="1" applyBorder="1" applyAlignment="1">
      <alignment horizontal="center" vertical="center"/>
    </xf>
    <xf fontId="11" fillId="20" borderId="50" numFmtId="0" xfId="0" applyFont="1" applyFill="1" applyBorder="1" applyAlignment="1">
      <alignment horizontal="center" vertical="center"/>
    </xf>
    <xf fontId="12" fillId="20" borderId="50" numFmtId="0" xfId="0" applyFont="1" applyFill="1" applyBorder="1" applyAlignment="1">
      <alignment horizontal="center" vertical="center"/>
    </xf>
    <xf fontId="8" fillId="20" borderId="51" numFmtId="0" xfId="0" applyFont="1" applyFill="1" applyBorder="1" applyAlignment="1">
      <alignment horizontal="center" vertical="center"/>
    </xf>
    <xf fontId="8" fillId="0" borderId="50" numFmtId="0" xfId="0" applyFont="1" applyBorder="1" applyAlignment="1">
      <alignment horizontal="center" vertical="center"/>
    </xf>
    <xf fontId="11" fillId="0" borderId="50" numFmtId="0" xfId="0" applyFont="1" applyBorder="1" applyAlignment="1">
      <alignment horizontal="center" vertical="center"/>
    </xf>
    <xf fontId="12" fillId="0" borderId="50" numFmtId="0" xfId="0" applyFont="1" applyBorder="1" applyAlignment="1">
      <alignment horizontal="center" vertical="center"/>
    </xf>
    <xf fontId="8" fillId="0" borderId="51" numFmtId="0" xfId="0" applyFont="1" applyBorder="1" applyAlignment="1">
      <alignment horizontal="center" vertical="center"/>
    </xf>
    <xf fontId="8" fillId="0" borderId="52" numFmtId="0" xfId="0" applyFont="1" applyBorder="1" applyAlignment="1">
      <alignment horizontal="center" vertical="center"/>
    </xf>
    <xf fontId="11" fillId="0" borderId="52" numFmtId="0" xfId="0" applyFont="1" applyBorder="1" applyAlignment="1">
      <alignment horizontal="center" vertical="center"/>
    </xf>
    <xf fontId="12" fillId="0" borderId="52" numFmtId="0" xfId="0" applyFont="1" applyBorder="1" applyAlignment="1">
      <alignment horizontal="center" vertical="center"/>
    </xf>
    <xf fontId="8" fillId="0" borderId="53" numFmtId="0" xfId="0" applyFont="1" applyBorder="1" applyAlignment="1">
      <alignment horizontal="center" vertical="center"/>
    </xf>
    <xf fontId="8" fillId="0" borderId="0" numFmtId="0" xfId="0" applyFont="1"/>
    <xf fontId="5" fillId="19" borderId="54" numFmtId="0" xfId="0" applyFont="1" applyFill="1" applyBorder="1" applyAlignment="1">
      <alignment horizontal="center" vertical="center"/>
    </xf>
    <xf fontId="5" fillId="19" borderId="50" numFmtId="0" xfId="0" applyFont="1" applyFill="1" applyBorder="1" applyAlignment="1">
      <alignment horizontal="center" vertical="center"/>
    </xf>
    <xf fontId="8" fillId="20" borderId="54" numFmtId="0" xfId="0" applyFont="1" applyFill="1" applyBorder="1"/>
    <xf fontId="8" fillId="20" borderId="50" numFmtId="0" xfId="0" applyFont="1" applyFill="1" applyBorder="1"/>
    <xf fontId="8" fillId="0" borderId="54" numFmtId="0" xfId="0" applyFont="1" applyBorder="1"/>
    <xf fontId="8" fillId="0" borderId="50" numFmtId="0" xfId="0" applyFont="1" applyBorder="1"/>
    <xf fontId="8" fillId="0" borderId="55" numFmtId="0" xfId="0" applyFont="1" applyBorder="1"/>
    <xf fontId="8" fillId="0" borderId="52" numFmtId="0" xfId="0" applyFont="1" applyBorder="1"/>
    <xf fontId="11" fillId="0" borderId="0" numFmtId="0" xfId="0" applyFont="1" applyAlignment="1">
      <alignment horizontal="center" vertical="center"/>
    </xf>
    <xf fontId="13" fillId="0" borderId="0" numFmtId="0" xfId="0" applyFont="1" applyAlignment="1">
      <alignment horizontal="left" vertical="center" wrapText="1"/>
    </xf>
    <xf fontId="0" fillId="0" borderId="0" numFmtId="0" xfId="0" applyAlignment="1">
      <alignment horizontal="left" vertical="center"/>
    </xf>
    <xf fontId="13" fillId="0" borderId="0" numFmtId="0" xfId="0" applyFont="1" applyAlignment="1">
      <alignment horizontal="left" vertical="center"/>
    </xf>
  </cellXfs>
  <cellStyles count="1">
    <cellStyle name="Normal" xfId="0" builtinId="0"/>
  </cellStyles>
  <dxfs count="36">
    <dxf>
      <font>
        <b val="0"/>
        <i val="0"/>
        <strike val="0"/>
        <u val="none"/>
        <vertAlign val="baseline"/>
        <sz val="9.000000"/>
        <color theme="1"/>
        <name val="Aptos Narrow"/>
        <scheme val="minor"/>
      </font>
      <alignment horizontal="center" indent="0" readingOrder="0" relativeIndent="0" shrinkToFit="0" textRotation="0" vertical="center" wrapText="0"/>
    </dxf>
    <dxf>
      <font>
        <b val="0"/>
        <i val="0"/>
        <strike val="0"/>
        <u val="none"/>
        <vertAlign val="baseline"/>
        <sz val="9.000000"/>
        <color theme="1"/>
        <name val="Aptos Narrow"/>
        <scheme val="minor"/>
      </font>
      <alignment horizontal="center" indent="0" readingOrder="0" relativeIndent="0" shrinkToFit="0" textRotation="0" vertical="center" wrapText="0"/>
    </dxf>
    <dxf>
      <font>
        <b val="0"/>
        <i val="0"/>
        <strike val="0"/>
        <u val="none"/>
        <vertAlign val="baseline"/>
        <sz val="9.000000"/>
        <color theme="1"/>
        <name val="Aptos Narrow"/>
        <scheme val="minor"/>
      </font>
      <numFmt numFmtId="10" formatCode="0.00%"/>
      <alignment horizontal="center" indent="0" readingOrder="0" relativeIndent="0" shrinkToFit="0" textRotation="0" vertical="center" wrapText="0"/>
    </dxf>
    <dxf>
      <font>
        <b val="0"/>
        <i val="0"/>
        <strike val="0"/>
        <u val="none"/>
        <vertAlign val="baseline"/>
        <sz val="9.000000"/>
        <color theme="1"/>
        <name val="Aptos Narrow"/>
        <scheme val="minor"/>
      </font>
      <alignment horizontal="center" indent="0" readingOrder="0" relativeIndent="0" shrinkToFit="0" textRotation="0" vertical="center" wrapText="0"/>
      <border>
        <left style="none"/>
        <right style="none"/>
        <top style="thin">
          <color theme="4" tint="0.39997558519241921"/>
        </top>
        <bottom style="none"/>
        <diagonal/>
        <vertical style="none"/>
        <horizontal style="none"/>
      </border>
    </dxf>
    <dxf>
      <font>
        <b val="0"/>
        <i val="0"/>
        <strike val="0"/>
        <u val="none"/>
        <vertAlign val="baseline"/>
        <sz val="8.000000"/>
        <color theme="1"/>
        <name val="Aptos Narrow"/>
        <scheme val="minor"/>
      </font>
      <alignment horizontal="center" indent="0" readingOrder="0" relativeIndent="0" shrinkToFit="0" textRotation="0" vertical="center" wrapText="0"/>
      <border>
        <left style="none"/>
        <right style="none"/>
        <top style="thin">
          <color theme="4" tint="0.39997558519241921"/>
        </top>
        <bottom style="none"/>
        <diagonal/>
        <vertical style="none"/>
        <horizontal style="none"/>
      </border>
    </dxf>
    <dxf>
      <font>
        <b val="0"/>
        <i val="0"/>
        <strike val="0"/>
        <u val="none"/>
        <vertAlign val="baseline"/>
        <sz val="9.000000"/>
        <color theme="1"/>
        <name val="Aptos Narrow"/>
        <scheme val="minor"/>
      </font>
      <alignment horizontal="center" indent="0" readingOrder="0" relativeIndent="0" shrinkToFit="0" textRotation="0" vertical="center" wrapText="0"/>
      <border>
        <left style="none"/>
        <right style="none"/>
        <top style="thin">
          <color theme="4" tint="0.39997558519241921"/>
        </top>
        <bottom style="none"/>
        <diagonal/>
        <vertical style="none"/>
        <horizontal style="none"/>
      </border>
    </dxf>
    <dxf>
      <font>
        <b val="0"/>
        <i val="0"/>
        <strike val="0"/>
        <u val="none"/>
        <vertAlign val="baseline"/>
        <sz val="9.000000"/>
        <color theme="1"/>
        <name val="Aptos Narrow"/>
        <scheme val="minor"/>
      </font>
      <alignment horizontal="center" indent="0" readingOrder="0" relativeIndent="0" shrinkToFit="0" textRotation="0" vertical="center" wrapText="0"/>
      <border>
        <left style="none"/>
        <right style="none"/>
        <top style="thin">
          <color theme="4" tint="0.39997558519241921"/>
        </top>
        <bottom style="none"/>
        <diagonal/>
        <vertical style="none"/>
        <horizontal style="none"/>
      </border>
    </dxf>
    <dxf>
      <font>
        <b val="0"/>
        <i val="0"/>
        <strike val="0"/>
        <u val="none"/>
        <vertAlign val="baseline"/>
        <sz val="9.000000"/>
        <color theme="1"/>
        <name val="Aptos Narrow"/>
        <scheme val="minor"/>
      </font>
      <alignment horizontal="center" indent="0" readingOrder="0" relativeIndent="0" shrinkToFit="0" textRotation="0" vertical="center" wrapText="0"/>
      <border>
        <left style="none"/>
        <right style="none"/>
        <top style="thin">
          <color theme="4" tint="0.39997558519241921"/>
        </top>
        <bottom style="none"/>
        <diagonal/>
        <vertical style="none"/>
        <horizontal style="none"/>
      </border>
    </dxf>
    <dxf>
      <font>
        <b val="0"/>
        <i val="0"/>
        <strike val="0"/>
        <u val="none"/>
        <vertAlign val="baseline"/>
        <sz val="9.000000"/>
        <color theme="1"/>
        <name val="Aptos Narrow"/>
        <scheme val="minor"/>
      </font>
      <alignment horizontal="center" indent="0" readingOrder="0" relativeIndent="0" shrinkToFit="0" textRotation="0" vertical="center" wrapText="0"/>
      <border>
        <left style="none"/>
        <right style="none"/>
        <top style="thin">
          <color theme="4" tint="0.39997558519241921"/>
        </top>
        <bottom style="none"/>
        <diagonal/>
        <vertical style="none"/>
        <horizontal style="none"/>
      </border>
    </dxf>
    <dxf>
      <font>
        <b val="0"/>
        <i val="0"/>
        <strike val="0"/>
        <u val="none"/>
        <vertAlign val="baseline"/>
        <sz val="9.000000"/>
        <color theme="1"/>
        <name val="Aptos Narrow"/>
        <scheme val="minor"/>
      </font>
      <alignment horizontal="center" indent="0" readingOrder="0" relativeIndent="0" shrinkToFit="0" textRotation="0" vertical="center" wrapText="0"/>
      <border>
        <left style="none"/>
        <right style="none"/>
        <top style="thin">
          <color theme="4" tint="0.39997558519241921"/>
        </top>
        <bottom style="none"/>
        <diagonal/>
        <vertical style="none"/>
        <horizontal style="none"/>
      </border>
    </dxf>
    <dxf>
      <font>
        <b val="0"/>
        <i val="0"/>
        <strike val="0"/>
        <u val="none"/>
        <vertAlign val="baseline"/>
        <sz val="9.000000"/>
        <color theme="1"/>
        <name val="Aptos Narrow"/>
        <scheme val="minor"/>
      </font>
      <alignment horizontal="center" indent="0" readingOrder="0" relativeIndent="0" shrinkToFit="0" textRotation="0" vertical="center" wrapText="0"/>
      <border>
        <left style="none"/>
        <right style="none"/>
        <top style="thin">
          <color theme="4" tint="0.39997558519241921"/>
        </top>
        <bottom style="none"/>
        <diagonal/>
        <vertical style="none"/>
        <horizontal style="none"/>
      </border>
    </dxf>
    <dxf>
      <font>
        <b val="0"/>
        <i val="0"/>
        <strike val="0"/>
        <u val="none"/>
        <vertAlign val="baseline"/>
        <sz val="9.000000"/>
        <color theme="1"/>
        <name val="Aptos Narrow"/>
        <scheme val="minor"/>
      </font>
      <alignment horizontal="center" indent="0" readingOrder="0" relativeIndent="0" shrinkToFit="0" textRotation="0" vertical="center" wrapText="0"/>
      <border>
        <left style="none"/>
        <right style="none"/>
        <top style="thin">
          <color theme="4" tint="0.39997558519241921"/>
        </top>
        <bottom style="none"/>
        <diagonal/>
        <vertical style="none"/>
        <horizontal style="none"/>
      </border>
    </dxf>
    <dxf>
      <font>
        <b val="0"/>
        <i val="0"/>
        <strike val="0"/>
        <u val="none"/>
        <vertAlign val="baseline"/>
        <sz val="9.000000"/>
        <color theme="1"/>
        <name val="Aptos Narrow"/>
        <scheme val="minor"/>
      </font>
      <alignment horizontal="center" indent="0" readingOrder="0" relativeIndent="0" shrinkToFit="0" textRotation="0" vertical="center" wrapText="0"/>
      <border>
        <left style="none"/>
        <right style="none"/>
        <top style="thin">
          <color theme="4" tint="0.39997558519241921"/>
        </top>
        <bottom style="none"/>
        <diagonal/>
        <vertical style="none"/>
        <horizontal style="none"/>
      </border>
    </dxf>
    <dxf>
      <font>
        <b val="0"/>
        <i val="0"/>
        <strike val="0"/>
        <u val="none"/>
        <vertAlign val="baseline"/>
        <sz val="9.000000"/>
        <color theme="1"/>
        <name val="Aptos Narrow"/>
        <scheme val="minor"/>
      </font>
      <alignment horizontal="center" indent="0" readingOrder="0" relativeIndent="0" shrinkToFit="0" textRotation="0" vertical="center" wrapText="0"/>
      <border>
        <left style="none"/>
        <right style="none"/>
        <top style="thin">
          <color theme="4" tint="0.39997558519241921"/>
        </top>
        <bottom style="none"/>
        <diagonal/>
        <vertical style="none"/>
        <horizontal style="none"/>
      </border>
    </dxf>
    <dxf>
      <font>
        <b val="0"/>
        <i val="0"/>
        <strike val="0"/>
        <u val="none"/>
        <vertAlign val="baseline"/>
        <sz val="7.000000"/>
        <color theme="1"/>
        <name val="Aptos Narrow"/>
        <scheme val="minor"/>
      </font>
      <alignment horizontal="center" indent="0" readingOrder="0" relativeIndent="0" shrinkToFit="0" textRotation="0" vertical="center" wrapText="0"/>
      <border>
        <left style="none"/>
        <right style="none"/>
        <top style="thin">
          <color theme="4" tint="0.39997558519241921"/>
        </top>
        <bottom style="none"/>
        <diagonal/>
        <vertical style="none"/>
        <horizontal style="none"/>
      </border>
    </dxf>
    <dxf>
      <font>
        <b val="0"/>
        <i val="0"/>
        <strike val="0"/>
        <u val="none"/>
        <vertAlign val="baseline"/>
        <sz val="7.000000"/>
        <color theme="1"/>
        <name val="Aptos Narrow"/>
        <scheme val="minor"/>
      </font>
      <alignment horizontal="center" indent="0" readingOrder="0" relativeIndent="0" shrinkToFit="0" textRotation="0" vertical="center" wrapText="0"/>
      <border>
        <left style="none"/>
        <right style="none"/>
        <top style="thin">
          <color theme="4" tint="0.39997558519241921"/>
        </top>
        <bottom style="none"/>
        <diagonal/>
        <vertical style="none"/>
        <horizontal style="none"/>
      </border>
    </dxf>
    <dxf>
      <font>
        <b val="0"/>
        <i val="0"/>
        <strike val="0"/>
        <u val="none"/>
        <vertAlign val="baseline"/>
        <sz val="9.000000"/>
        <color theme="1"/>
        <name val="Aptos Narrow"/>
        <scheme val="minor"/>
      </font>
      <alignment horizontal="center" indent="0" readingOrder="0" relativeIndent="0" shrinkToFit="0" textRotation="0" vertical="center" wrapText="0"/>
      <border>
        <left style="none"/>
        <right style="none"/>
        <top style="thin">
          <color theme="4" tint="0.39997558519241921"/>
        </top>
        <bottom style="none"/>
        <diagonal/>
        <vertical style="none"/>
        <horizontal style="none"/>
      </border>
    </dxf>
    <dxf>
      <font>
        <b val="0"/>
        <i val="0"/>
        <strike val="0"/>
        <u val="none"/>
        <vertAlign val="baseline"/>
        <sz val="9.000000"/>
        <color theme="1"/>
        <name val="Aptos Narrow"/>
        <scheme val="minor"/>
      </font>
      <alignment horizontal="center" indent="0" readingOrder="0" relativeIndent="0" shrinkToFit="0" textRotation="0" vertical="center" wrapText="0"/>
      <border>
        <left style="none"/>
        <right style="none"/>
        <top style="thin">
          <color theme="4" tint="0.39997558519241921"/>
        </top>
        <bottom style="none"/>
        <diagonal/>
        <vertical style="none"/>
        <horizontal style="none"/>
      </border>
    </dxf>
    <dxf>
      <font>
        <b val="0"/>
        <i val="0"/>
        <strike val="0"/>
        <u val="none"/>
        <vertAlign val="baseline"/>
        <sz val="9.000000"/>
        <color theme="1"/>
        <name val="Aptos Narrow"/>
        <scheme val="minor"/>
      </font>
      <alignment horizontal="center" indent="0" readingOrder="0" relativeIndent="0" shrinkToFit="0" textRotation="0" vertical="center" wrapText="0"/>
      <border>
        <left style="none"/>
        <right style="none"/>
        <top style="thin">
          <color theme="4" tint="0.39997558519241921"/>
        </top>
        <bottom style="none"/>
        <diagonal/>
        <vertical style="none"/>
        <horizontal style="none"/>
      </border>
    </dxf>
    <dxf>
      <font>
        <b val="0"/>
        <i val="0"/>
        <strike val="0"/>
        <u val="none"/>
        <vertAlign val="baseline"/>
        <sz val="9.000000"/>
        <color theme="1"/>
        <name val="Aptos Narrow"/>
        <scheme val="minor"/>
      </font>
      <alignment horizontal="center" indent="0" readingOrder="0" relativeIndent="0" shrinkToFit="0" textRotation="0" vertical="center" wrapText="0"/>
      <border>
        <left style="none"/>
        <right style="none"/>
        <top style="thin">
          <color theme="4" tint="0.39997558519241921"/>
        </top>
        <bottom style="none"/>
        <diagonal/>
        <vertical style="none"/>
        <horizontal style="none"/>
      </border>
    </dxf>
    <dxf>
      <font>
        <b val="0"/>
        <i val="0"/>
        <strike val="0"/>
        <u val="none"/>
        <vertAlign val="baseline"/>
        <sz val="9.000000"/>
        <color theme="1"/>
        <name val="Aptos Narrow"/>
        <scheme val="minor"/>
      </font>
      <alignment horizontal="center" indent="0" readingOrder="0" relativeIndent="0" shrinkToFit="0" textRotation="0" vertical="center" wrapText="0"/>
      <border>
        <left style="none"/>
        <right style="none"/>
        <top style="thin">
          <color theme="4" tint="0.39997558519241921"/>
        </top>
        <bottom style="none"/>
        <diagonal/>
        <vertical style="none"/>
        <horizontal style="none"/>
      </border>
    </dxf>
    <dxf>
      <font>
        <b val="0"/>
        <i val="0"/>
        <strike val="0"/>
        <u val="none"/>
        <vertAlign val="baseline"/>
        <sz val="9.000000"/>
        <color theme="1"/>
        <name val="Aptos Narrow"/>
        <scheme val="minor"/>
      </font>
      <alignment horizontal="center" indent="0" readingOrder="0" relativeIndent="0" shrinkToFit="0" textRotation="0" vertical="center" wrapText="0"/>
      <border>
        <left style="none"/>
        <right style="none"/>
        <top style="thin">
          <color theme="4" tint="0.39997558519241921"/>
        </top>
        <bottom style="none"/>
        <diagonal/>
        <vertical style="none"/>
        <horizontal style="none"/>
      </border>
    </dxf>
    <dxf>
      <font>
        <b val="0"/>
        <i val="0"/>
        <strike val="0"/>
        <u val="none"/>
        <vertAlign val="baseline"/>
        <sz val="9.000000"/>
        <color theme="1"/>
        <name val="Aptos Narrow"/>
        <scheme val="minor"/>
      </font>
      <alignment horizontal="center" indent="0" readingOrder="0" relativeIndent="0" shrinkToFit="0" textRotation="0" vertical="center" wrapText="0"/>
      <border>
        <left style="none"/>
        <right style="none"/>
        <top style="thin">
          <color theme="4" tint="0.39997558519241921"/>
        </top>
        <bottom style="none"/>
        <diagonal/>
        <vertical style="none"/>
        <horizontal style="none"/>
      </border>
    </dxf>
    <dxf>
      <font>
        <b val="0"/>
        <i val="0"/>
        <strike val="0"/>
        <u val="none"/>
        <vertAlign val="baseline"/>
        <sz val="9.000000"/>
        <color theme="1"/>
        <name val="Aptos Narrow"/>
        <scheme val="minor"/>
      </font>
      <alignment horizontal="center" indent="0" readingOrder="0" relativeIndent="0" shrinkToFit="0" textRotation="0" vertical="center" wrapText="0"/>
      <border>
        <left style="none"/>
        <right style="thin">
          <color theme="4" tint="0.39997558519241921"/>
        </right>
        <top style="thin">
          <color theme="4" tint="0.39997558519241921"/>
        </top>
        <bottom style="none"/>
        <diagonal/>
        <vertical style="none"/>
        <horizontal style="none"/>
      </border>
    </dxf>
    <dxf>
      <font>
        <b val="0"/>
        <i val="0"/>
        <strike val="0"/>
        <u val="none"/>
        <vertAlign val="baseline"/>
        <sz val="9.000000"/>
        <color theme="1"/>
        <name val="Aptos Narrow"/>
        <scheme val="minor"/>
      </font>
      <alignment horizontal="center" indent="0" readingOrder="0" relativeIndent="0" shrinkToFit="0" textRotation="0" vertical="center" wrapText="0"/>
    </dxf>
    <dxf>
      <font>
        <b val="0"/>
        <i val="0"/>
        <strike val="0"/>
        <u val="none"/>
        <vertAlign val="baseline"/>
        <sz val="9.000000"/>
        <color theme="1"/>
        <name val="Aptos Narrow"/>
        <scheme val="minor"/>
      </font>
      <alignment horizontal="center" indent="0" readingOrder="0" relativeIndent="0" shrinkToFit="0" textRotation="0" vertical="center" wrapText="0"/>
    </dxf>
    <dxf>
      <font>
        <b val="0"/>
        <i val="0"/>
        <strike val="0"/>
        <u val="none"/>
        <vertAlign val="baseline"/>
        <sz val="9.000000"/>
        <color theme="1"/>
        <name val="Aptos Narrow"/>
        <scheme val="minor"/>
      </font>
      <alignment horizontal="center" indent="0" readingOrder="0" relativeIndent="0" shrinkToFit="0" textRotation="0" vertical="center" wrapText="0"/>
    </dxf>
    <dxf>
      <font>
        <b val="0"/>
        <i val="0"/>
        <strike val="0"/>
        <u val="none"/>
        <vertAlign val="baseline"/>
        <sz val="9.000000"/>
        <color theme="1"/>
        <name val="Aptos Narrow"/>
        <scheme val="minor"/>
      </font>
      <alignment horizontal="center" indent="0" readingOrder="0" relativeIndent="0" shrinkToFit="0" textRotation="0" vertical="center" wrapText="0"/>
    </dxf>
    <dxf>
      <font>
        <b val="0"/>
        <i val="0"/>
        <strike val="0"/>
        <u val="none"/>
        <vertAlign val="baseline"/>
        <sz val="9.000000"/>
        <color theme="1"/>
        <name val="Aptos Narrow"/>
        <scheme val="minor"/>
      </font>
      <alignment horizontal="center" indent="0" readingOrder="0" relativeIndent="0" shrinkToFit="0" textRotation="0" vertical="center" wrapText="0"/>
    </dxf>
    <dxf>
      <font>
        <b val="0"/>
        <i val="0"/>
        <strike val="0"/>
        <u val="none"/>
        <vertAlign val="baseline"/>
        <sz val="9.000000"/>
        <color theme="1"/>
        <name val="Aptos Narrow"/>
        <scheme val="minor"/>
      </font>
      <alignment horizontal="center" indent="0" readingOrder="0" relativeIndent="0" shrinkToFit="0" textRotation="0" vertical="center" wrapText="0"/>
    </dxf>
    <dxf>
      <font>
        <b val="0"/>
        <i val="0"/>
        <strike val="0"/>
        <u val="none"/>
        <vertAlign val="baseline"/>
        <sz val="9.000000"/>
        <color theme="1"/>
        <name val="Aptos Narrow"/>
        <scheme val="minor"/>
      </font>
      <border>
        <left style="thin">
          <color theme="4" tint="0.39997558519241921"/>
        </left>
        <right style="none"/>
        <top style="thin">
          <color theme="4" tint="0.39997558519241921"/>
        </top>
        <bottom style="none"/>
        <diagonal/>
        <vertical style="none"/>
        <horizontal style="none"/>
      </border>
    </dxf>
    <dxf>
      <font>
        <b val="0"/>
        <i val="0"/>
        <strike val="0"/>
        <u val="none"/>
        <vertAlign val="baseline"/>
        <sz val="9.000000"/>
        <color theme="1"/>
        <name val="Aptos Narrow"/>
        <scheme val="minor"/>
      </font>
      <border>
        <left style="none"/>
        <right style="none"/>
        <top style="thin">
          <color theme="4" tint="0.39997558519241921"/>
        </top>
        <bottom style="none"/>
        <diagonal/>
        <vertical style="none"/>
        <horizontal style="none"/>
      </border>
    </dxf>
    <dxf>
      <font>
        <b val="0"/>
        <i val="0"/>
        <strike val="0"/>
        <u val="none"/>
        <vertAlign val="baseline"/>
        <sz val="8.000000"/>
        <color theme="1"/>
        <name val="Aptos Narrow"/>
        <scheme val="minor"/>
      </font>
      <alignment horizontal="center" indent="0" readingOrder="0" relativeIndent="0" shrinkToFit="0" textRotation="0" vertical="center" wrapText="0"/>
    </dxf>
    <dxf>
      <font>
        <b val="0"/>
        <i val="0"/>
        <strike val="0"/>
        <u val="none"/>
        <vertAlign val="baseline"/>
        <sz val="8.000000"/>
        <color theme="1"/>
        <name val="Aptos Narrow"/>
        <scheme val="minor"/>
      </font>
      <alignment horizontal="center" indent="0" readingOrder="0" relativeIndent="0" shrinkToFit="0" textRotation="0" vertical="center" wrapText="0"/>
    </dxf>
    <dxf>
      <font>
        <b val="0"/>
        <i val="0"/>
        <strike val="0"/>
        <u val="none"/>
        <vertAlign val="baseline"/>
        <sz val="8.000000"/>
        <color theme="1"/>
        <name val="Aptos Narrow"/>
        <scheme val="minor"/>
      </font>
      <alignment horizontal="center" indent="0" readingOrder="0" relativeIndent="0" shrinkToFit="0" textRotation="0" vertical="center" wrapText="0"/>
    </dxf>
    <dxf>
      <font>
        <b val="0"/>
        <i val="0"/>
        <strike val="0"/>
        <u val="none"/>
        <vertAlign val="baseline"/>
        <sz val="6.000000"/>
        <color theme="1"/>
        <name val="Aptos Narrow"/>
        <scheme val="minor"/>
      </font>
      <alignment horizontal="left" indent="0" readingOrder="0" relativeIndent="0" shrinkToFit="0" textRotation="0"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customXml" Target="../customXml/item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theme" Target="theme/theme1.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14</xdr:col>
      <xdr:colOff>238125</xdr:colOff>
      <xdr:row>27</xdr:row>
      <xdr:rowOff>47625</xdr:rowOff>
    </xdr:from>
    <xdr:to>
      <xdr:col>20</xdr:col>
      <xdr:colOff>476250</xdr:colOff>
      <xdr:row>38</xdr:row>
      <xdr:rowOff>114300</xdr:rowOff>
    </xdr:to>
    <xdr:sp>
      <xdr:nvSpPr>
        <xdr:cNvPr id="4" name="Bulle narrative : rectangle 3"/>
        <xdr:cNvSpPr/>
      </xdr:nvSpPr>
      <xdr:spPr bwMode="auto">
        <a:xfrm>
          <a:off x="10229850" y="7553325"/>
          <a:ext cx="4429125" cy="2219325"/>
        </a:xfrm>
        <a:prstGeom prst="wedgeRectCallout">
          <a:avLst>
            <a:gd name="adj1" fmla="val -67500"/>
            <a:gd name="adj2" fmla="val 4941"/>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r>
            <a:rPr lang="fr-FR" sz="1100" b="1">
              <a:solidFill>
                <a:srgbClr val="92D050"/>
              </a:solidFill>
            </a:rPr>
            <a:t>ETABLIR</a:t>
          </a:r>
          <a:r>
            <a:rPr lang="fr-FR" sz="1100" b="1"/>
            <a:t> LES EQUATIONS PERMETTANT D'OBTENIR LE RESULTAT SUIVANT :</a:t>
          </a:r>
          <a:endParaRPr lang="fr-FR" sz="1100" b="1"/>
        </a:p>
      </xdr:txBody>
    </xdr:sp>
    <xdr:clientData/>
  </xdr:twoCellAnchor>
  <xdr:twoCellAnchor editAs="oneCell">
    <xdr:from>
      <xdr:col>14</xdr:col>
      <xdr:colOff>533400</xdr:colOff>
      <xdr:row>28</xdr:row>
      <xdr:rowOff>152400</xdr:rowOff>
    </xdr:from>
    <xdr:to>
      <xdr:col>20</xdr:col>
      <xdr:colOff>237464</xdr:colOff>
      <xdr:row>38</xdr:row>
      <xdr:rowOff>76200</xdr:rowOff>
    </xdr:to>
    <xdr:pic>
      <xdr:nvPicPr>
        <xdr:cNvPr id="5" name="Image 4"/>
        <xdr:cNvPicPr>
          <a:picLocks noChangeAspect="1"/>
        </xdr:cNvPicPr>
      </xdr:nvPicPr>
      <xdr:blipFill rotWithShape="1">
        <a:blip r:embed="rId1"/>
        <a:stretch/>
      </xdr:blipFill>
      <xdr:spPr bwMode="auto">
        <a:xfrm>
          <a:off x="10525125" y="7848600"/>
          <a:ext cx="3895064" cy="1885950"/>
        </a:xfrm>
        <a:prstGeom prst="rect">
          <a:avLst/>
        </a:prstGeom>
      </xdr:spPr>
    </xdr:pic>
    <xdr:clientData/>
  </xdr:twoCellAnchor>
  <xdr:twoCellAnchor editAs="twoCell">
    <xdr:from>
      <xdr:col>14</xdr:col>
      <xdr:colOff>238125</xdr:colOff>
      <xdr:row>40</xdr:row>
      <xdr:rowOff>0</xdr:rowOff>
    </xdr:from>
    <xdr:to>
      <xdr:col>20</xdr:col>
      <xdr:colOff>476250</xdr:colOff>
      <xdr:row>51</xdr:row>
      <xdr:rowOff>57150</xdr:rowOff>
    </xdr:to>
    <xdr:sp>
      <xdr:nvSpPr>
        <xdr:cNvPr id="6" name="Bulle narrative : rectangle 5"/>
        <xdr:cNvSpPr/>
      </xdr:nvSpPr>
      <xdr:spPr bwMode="auto">
        <a:xfrm>
          <a:off x="10229850" y="10239375"/>
          <a:ext cx="4429125" cy="2219325"/>
        </a:xfrm>
        <a:prstGeom prst="wedgeRectCallout">
          <a:avLst>
            <a:gd name="adj1" fmla="val -68145"/>
            <a:gd name="adj2" fmla="val 1078"/>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r>
            <a:rPr lang="fr-FR" sz="1100" b="1">
              <a:solidFill>
                <a:srgbClr val="0070C0"/>
              </a:solidFill>
            </a:rPr>
            <a:t>VERIFIER</a:t>
          </a:r>
          <a:r>
            <a:rPr lang="fr-FR" sz="1100" b="1">
              <a:solidFill>
                <a:srgbClr val="92D050"/>
              </a:solidFill>
            </a:rPr>
            <a:t> </a:t>
          </a:r>
          <a:r>
            <a:rPr lang="fr-FR" sz="1100" b="1"/>
            <a:t>LA CONCORDANCE DES RESULTATS :</a:t>
          </a:r>
          <a:endParaRPr lang="fr-FR" sz="1100" b="1"/>
        </a:p>
      </xdr:txBody>
    </xdr:sp>
    <xdr:clientData/>
  </xdr:twoCellAnchor>
  <xdr:twoCellAnchor editAs="twoCell">
    <xdr:from>
      <xdr:col>1</xdr:col>
      <xdr:colOff>76200</xdr:colOff>
      <xdr:row>64</xdr:row>
      <xdr:rowOff>114300</xdr:rowOff>
    </xdr:from>
    <xdr:to>
      <xdr:col>12</xdr:col>
      <xdr:colOff>447675</xdr:colOff>
      <xdr:row>76</xdr:row>
      <xdr:rowOff>47625</xdr:rowOff>
    </xdr:to>
    <xdr:sp>
      <xdr:nvSpPr>
        <xdr:cNvPr id="8" name="Bulle narrative : rectangle 7"/>
        <xdr:cNvSpPr/>
      </xdr:nvSpPr>
      <xdr:spPr bwMode="auto">
        <a:xfrm>
          <a:off x="647700" y="15640050"/>
          <a:ext cx="8648700" cy="2219325"/>
        </a:xfrm>
        <a:prstGeom prst="wedgeRectCallout">
          <a:avLst>
            <a:gd name="adj1" fmla="val -19973"/>
            <a:gd name="adj2" fmla="val -67163"/>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r>
            <a:rPr lang="fr-FR" sz="1100" b="1">
              <a:solidFill>
                <a:srgbClr val="00B050"/>
              </a:solidFill>
            </a:rPr>
            <a:t>ETABLIR</a:t>
          </a:r>
          <a:r>
            <a:rPr lang="fr-FR" sz="1100" b="1"/>
            <a:t> LES EQUATIONS PERMETTANT D'OBTENIR LE RESULTAT SUIVANT :</a:t>
          </a:r>
          <a:endParaRPr lang="fr-FR" sz="1100" b="1"/>
        </a:p>
      </xdr:txBody>
    </xdr:sp>
    <xdr:clientData/>
  </xdr:twoCellAnchor>
  <xdr:twoCellAnchor editAs="oneCell">
    <xdr:from>
      <xdr:col>1</xdr:col>
      <xdr:colOff>914399</xdr:colOff>
      <xdr:row>66</xdr:row>
      <xdr:rowOff>38100</xdr:rowOff>
    </xdr:from>
    <xdr:to>
      <xdr:col>11</xdr:col>
      <xdr:colOff>140749</xdr:colOff>
      <xdr:row>76</xdr:row>
      <xdr:rowOff>0</xdr:rowOff>
    </xdr:to>
    <xdr:pic>
      <xdr:nvPicPr>
        <xdr:cNvPr id="9" name="Image 8"/>
        <xdr:cNvPicPr>
          <a:picLocks noChangeAspect="1"/>
        </xdr:cNvPicPr>
      </xdr:nvPicPr>
      <xdr:blipFill rotWithShape="1">
        <a:blip r:embed="rId2"/>
        <a:stretch/>
      </xdr:blipFill>
      <xdr:spPr bwMode="auto">
        <a:xfrm>
          <a:off x="1485899" y="15944850"/>
          <a:ext cx="6932075" cy="1866900"/>
        </a:xfrm>
        <a:prstGeom prst="rect">
          <a:avLst/>
        </a:prstGeom>
      </xdr:spPr>
    </xdr:pic>
    <xdr:clientData/>
  </xdr:twoCellAnchor>
  <xdr:twoCellAnchor editAs="oneCell">
    <xdr:from>
      <xdr:col>15</xdr:col>
      <xdr:colOff>114300</xdr:colOff>
      <xdr:row>41</xdr:row>
      <xdr:rowOff>120057</xdr:rowOff>
    </xdr:from>
    <xdr:to>
      <xdr:col>20</xdr:col>
      <xdr:colOff>219781</xdr:colOff>
      <xdr:row>51</xdr:row>
      <xdr:rowOff>351</xdr:rowOff>
    </xdr:to>
    <xdr:pic>
      <xdr:nvPicPr>
        <xdr:cNvPr id="2" name="Image 1"/>
        <xdr:cNvPicPr>
          <a:picLocks noChangeAspect="1"/>
        </xdr:cNvPicPr>
      </xdr:nvPicPr>
      <xdr:blipFill rotWithShape="1">
        <a:blip r:embed="rId3"/>
        <a:stretch/>
      </xdr:blipFill>
      <xdr:spPr bwMode="auto">
        <a:xfrm>
          <a:off x="10677525" y="10549933"/>
          <a:ext cx="3724981" cy="185196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leau6" ref="A1:C5">
  <autoFilter ref="A1:C5"/>
  <tableColumns count="3">
    <tableColumn id="1" name="id_alcalin" dataDxfId="0"/>
    <tableColumn id="2" name="designation" dataDxfId="1"/>
    <tableColumn id="3" name="taux_eau"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leau5" ref="A1:Z155">
  <autoFilter ref="A1:Z155"/>
  <tableColumns count="26">
    <tableColumn id="1" name="id_corps_gras" dataDxfId="3"/>
    <tableColumn id="2" name="nom" dataDxfId="4"/>
    <tableColumn id="3" name="sap_naoh" dataDxfId="5"/>
    <tableColumn id="4" name="sap_koh" dataDxfId="6"/>
    <tableColumn id="5" name="durete" dataDxfId="7"/>
    <tableColumn id="6" name="detergence" dataDxfId="8"/>
    <tableColumn id="7" name="douceur" dataDxfId="9"/>
    <tableColumn id="8" name="moussant" dataDxfId="10"/>
    <tableColumn id="9" name="stabilite" dataDxfId="11"/>
    <tableColumn id="10" name="iode" dataDxfId="12"/>
    <tableColumn id="11" name="ins" dataDxfId="13"/>
    <tableColumn id="12" name="couleur" dataDxfId="14"/>
    <tableColumn id="13" name="odeur" dataDxfId="15"/>
    <tableColumn id="14" name="ags_laurique" dataDxfId="16"/>
    <tableColumn id="15" name="ags_myristique" dataDxfId="17"/>
    <tableColumn id="16" name="ags_palamitique" dataDxfId="18"/>
    <tableColumn id="17" name="ags_steratique" dataDxfId="19"/>
    <tableColumn id="18" name="agi_ricinoleique" dataDxfId="20"/>
    <tableColumn id="19" name="agi_oleique" dataDxfId="21"/>
    <tableColumn id="20" name="agi_lonoleique" dataDxfId="22"/>
    <tableColumn id="21" name="agi_linolenique" dataDxfId="23"/>
    <tableColumn id="22" name="lavant" dataDxfId="24"/>
    <tableColumn id="23" name="vol_mousse" dataDxfId="25"/>
    <tableColumn id="24" name="tenue_mousse" dataDxfId="26"/>
    <tableColumn id="25" name="solubilite" dataDxfId="27"/>
    <tableColumn id="26" name="sechage" dataDxf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leau4" ref="A1:C265">
  <autoFilter ref="A1:C265"/>
  <tableColumns count="3">
    <tableColumn id="1" name="id_ajout" dataDxfId="29"/>
    <tableColumn id="2" name="nom" dataDxfId="30"/>
    <tableColumn id="3" name="famille" dataDxfId="3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leau2" ref="A1:D129">
  <autoFilter ref="A1:D129"/>
  <tableColumns count="4">
    <tableColumn id="1" name="id_senteur" dataDxfId="32"/>
    <tableColumn id="2" name="nom" dataDxfId="33"/>
    <tableColumn id="3" name="nom_latin" dataDxfId="34"/>
    <tableColumn id="4" name="remarque" dataDxfId="35"/>
  </tableColumns>
  <tableStyleInfo name="TableStyleMedium2"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Relationships xmlns="http://schemas.openxmlformats.org/package/2006/relationships"><Relationship  Id="rId1" Type="http://schemas.openxmlformats.org/officeDocument/2006/relationships/table" Target="../tables/table1.xml"/></Relationships>
</file>

<file path=xl/worksheets/_rels/sheet4.xml.rels><?xml version="1.0" encoding="UTF-8" standalone="yes"?><Relationships xmlns="http://schemas.openxmlformats.org/package/2006/relationships"><Relationship  Id="rId1" Type="http://schemas.openxmlformats.org/officeDocument/2006/relationships/table" Target="../tables/table2.xml"/></Relationships>
</file>

<file path=xl/worksheets/_rels/sheet5.xml.rels><?xml version="1.0" encoding="UTF-8" standalone="yes"?><Relationships xmlns="http://schemas.openxmlformats.org/package/2006/relationships"><Relationship  Id="rId1" Type="http://schemas.openxmlformats.org/officeDocument/2006/relationships/table" Target="../tables/table3.xml"/></Relationships>
</file>

<file path=xl/worksheets/_rels/sheet6.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7" zoomScale="100" workbookViewId="0">
      <selection activeCell="E11" activeCellId="0" sqref="E11"/>
    </sheetView>
  </sheetViews>
  <sheetFormatPr baseColWidth="10" defaultColWidth="11.42578125" defaultRowHeight="14.25"/>
  <cols>
    <col customWidth="1" min="1" max="1" style="1" width="8.5703125"/>
    <col customWidth="1" min="2" max="2" style="1" width="37.28515625"/>
    <col customWidth="1" min="3" max="4" style="1" width="10.5703125"/>
    <col customWidth="1" min="5" max="5" style="1" width="5.7109375"/>
    <col customWidth="1" min="6" max="16" style="1" width="8.5703125"/>
    <col min="17" max="16384" style="1" width="11.42578125"/>
  </cols>
  <sheetData>
    <row r="1" ht="39.950000000000003" customHeight="1">
      <c r="A1" s="2" t="s">
        <v>0</v>
      </c>
      <c r="B1" s="3"/>
      <c r="C1" s="3"/>
      <c r="D1" s="3"/>
      <c r="E1" s="3"/>
      <c r="F1" s="3"/>
      <c r="G1" s="3"/>
      <c r="H1" s="3"/>
      <c r="I1" s="3"/>
      <c r="J1" s="3"/>
      <c r="K1" s="3"/>
      <c r="L1" s="3"/>
      <c r="M1" s="3"/>
      <c r="N1" s="3"/>
      <c r="O1" s="3"/>
      <c r="P1" s="4"/>
      <c r="Q1" s="5"/>
      <c r="R1" s="5"/>
      <c r="S1" s="5"/>
      <c r="T1" s="5"/>
      <c r="U1" s="5"/>
    </row>
    <row r="2" ht="15" customHeight="1">
      <c r="A2" s="6"/>
      <c r="B2" s="6"/>
      <c r="C2" s="6"/>
      <c r="D2" s="6"/>
      <c r="E2" s="5"/>
      <c r="F2" s="5"/>
      <c r="G2" s="5"/>
      <c r="H2" s="5"/>
      <c r="I2" s="5"/>
      <c r="J2" s="5"/>
      <c r="K2" s="5"/>
      <c r="L2" s="5"/>
      <c r="M2" s="5"/>
      <c r="N2" s="5"/>
      <c r="O2" s="5"/>
      <c r="P2" s="5"/>
      <c r="Q2" s="5"/>
      <c r="R2" s="5"/>
      <c r="S2" s="5"/>
      <c r="T2" s="5"/>
      <c r="U2" s="5"/>
    </row>
    <row r="3" ht="15" customHeight="1">
      <c r="A3" s="5"/>
      <c r="B3" s="5"/>
      <c r="C3" s="5"/>
      <c r="D3" s="5"/>
      <c r="E3" s="5"/>
      <c r="F3" s="5"/>
      <c r="G3" s="5"/>
      <c r="H3" s="5"/>
      <c r="I3" s="5"/>
      <c r="J3" s="5"/>
      <c r="K3" s="5"/>
      <c r="L3" s="5"/>
      <c r="M3" s="5"/>
      <c r="N3" s="5"/>
      <c r="O3" s="5"/>
      <c r="P3" s="5"/>
      <c r="Q3" s="5"/>
      <c r="R3" s="5"/>
      <c r="S3" s="5"/>
      <c r="T3" s="5"/>
      <c r="U3" s="5"/>
    </row>
    <row r="4" ht="15" customHeight="1">
      <c r="C4" s="5"/>
      <c r="D4" s="5"/>
      <c r="E4" s="5"/>
      <c r="F4" s="7" t="s">
        <v>1</v>
      </c>
      <c r="G4" s="8"/>
      <c r="H4" s="5"/>
      <c r="I4" s="5"/>
      <c r="J4" s="5"/>
      <c r="K4" s="5"/>
      <c r="L4" s="5"/>
      <c r="M4" s="5"/>
      <c r="N4" s="5"/>
      <c r="O4" s="5"/>
      <c r="P4" s="5"/>
      <c r="Q4" s="5"/>
      <c r="R4" s="5"/>
      <c r="S4" s="5"/>
      <c r="T4" s="5"/>
      <c r="U4" s="5"/>
    </row>
    <row r="5" ht="30" customHeight="1">
      <c r="A5" s="9" t="s">
        <v>2</v>
      </c>
      <c r="B5" s="10" t="s">
        <v>3</v>
      </c>
      <c r="C5" s="5"/>
      <c r="D5" s="5"/>
      <c r="E5" s="5"/>
      <c r="F5" s="11" t="s">
        <v>4</v>
      </c>
      <c r="G5" s="12" t="s">
        <v>5</v>
      </c>
      <c r="H5" s="5"/>
      <c r="I5" s="5"/>
      <c r="J5" s="5"/>
      <c r="K5" s="5"/>
      <c r="L5" s="5"/>
      <c r="M5" s="5"/>
      <c r="N5" s="5"/>
      <c r="O5" s="5"/>
      <c r="P5" s="5"/>
      <c r="Q5" s="5"/>
      <c r="R5" s="5"/>
      <c r="S5" s="5"/>
      <c r="T5" s="5"/>
      <c r="U5" s="5"/>
    </row>
    <row r="6" ht="30" customHeight="1">
      <c r="A6" s="13"/>
      <c r="B6" s="14" t="s">
        <v>6</v>
      </c>
      <c r="C6" s="5"/>
      <c r="D6" s="5"/>
      <c r="E6" s="5"/>
      <c r="F6" s="15">
        <f t="array" ref="F6">_xlfn.XLOOKUP(B6,Tableau6[[#All],[designation]],Tableau6[[#All],[id_alcalin]])</f>
        <v>1</v>
      </c>
      <c r="G6" s="16">
        <f t="array" ref="G6">_xlfn.XLOOKUP(B6,Tableau6[[#All],[designation]],Tableau6[[#All],[taux_eau]])</f>
        <v>0</v>
      </c>
      <c r="H6" s="5"/>
      <c r="I6" s="5"/>
      <c r="J6" s="5"/>
      <c r="K6" s="5"/>
      <c r="L6" s="5"/>
      <c r="M6" s="5"/>
      <c r="N6" s="5"/>
      <c r="O6" s="5"/>
      <c r="P6" s="5"/>
      <c r="Q6" s="5"/>
      <c r="R6" s="5"/>
      <c r="S6" s="5"/>
      <c r="T6" s="5"/>
      <c r="U6" s="5"/>
    </row>
    <row r="7" ht="30" customHeight="1">
      <c r="A7" s="13"/>
      <c r="B7" s="10" t="s">
        <v>7</v>
      </c>
      <c r="C7" s="5"/>
      <c r="D7" s="5"/>
      <c r="E7" s="5"/>
      <c r="F7" s="5"/>
      <c r="G7" s="5"/>
      <c r="H7" s="5"/>
      <c r="I7" s="5"/>
      <c r="J7" s="5"/>
      <c r="K7" s="5"/>
      <c r="L7" s="5"/>
      <c r="M7" s="5"/>
      <c r="N7" s="5"/>
      <c r="O7" s="5"/>
      <c r="P7" s="5"/>
      <c r="Q7" s="5"/>
      <c r="R7" s="5"/>
      <c r="S7" s="5"/>
      <c r="T7" s="5"/>
      <c r="U7" s="5"/>
    </row>
    <row r="8" ht="30" customHeight="1">
      <c r="A8" s="17"/>
      <c r="B8" s="18">
        <v>0.20000000000000001</v>
      </c>
      <c r="C8" s="5"/>
      <c r="D8" s="5"/>
      <c r="E8" s="5"/>
      <c r="F8" s="5"/>
      <c r="G8" s="5"/>
      <c r="H8" s="5"/>
      <c r="I8" s="5"/>
      <c r="J8" s="5"/>
      <c r="K8" s="5"/>
      <c r="L8" s="5"/>
      <c r="M8" s="5"/>
      <c r="N8" s="5"/>
      <c r="O8" s="5"/>
      <c r="P8" s="5"/>
      <c r="Q8" s="5"/>
      <c r="R8" s="5"/>
      <c r="S8" s="5"/>
      <c r="T8" s="5"/>
      <c r="U8" s="5"/>
    </row>
    <row r="9" ht="15" customHeight="1">
      <c r="A9" s="5"/>
      <c r="B9" s="5"/>
      <c r="C9" s="5"/>
      <c r="D9" s="5"/>
      <c r="E9" s="5"/>
      <c r="F9" s="5"/>
      <c r="G9" s="5"/>
      <c r="H9" s="5"/>
      <c r="I9" s="5"/>
      <c r="J9" s="5"/>
      <c r="K9" s="5"/>
      <c r="L9" s="5"/>
      <c r="M9" s="5"/>
      <c r="N9" s="5"/>
      <c r="O9" s="5"/>
      <c r="P9" s="5"/>
      <c r="Q9" s="5"/>
      <c r="R9" s="5"/>
      <c r="S9" s="5"/>
      <c r="T9" s="5"/>
      <c r="U9" s="5"/>
    </row>
    <row r="10" ht="15" customHeight="1">
      <c r="A10" s="5"/>
      <c r="B10" s="5"/>
      <c r="C10" s="5"/>
      <c r="D10" s="5"/>
      <c r="E10" s="5"/>
      <c r="F10" s="5"/>
      <c r="G10" s="5"/>
      <c r="H10" s="5"/>
      <c r="I10" s="5"/>
      <c r="J10" s="5"/>
      <c r="K10" s="5"/>
      <c r="L10" s="5"/>
      <c r="M10" s="5"/>
      <c r="N10" s="5"/>
      <c r="O10" s="5"/>
      <c r="P10" s="5"/>
      <c r="Q10" s="5"/>
      <c r="R10" s="5"/>
      <c r="S10" s="5"/>
      <c r="T10" s="5"/>
      <c r="U10" s="5"/>
    </row>
    <row r="11" ht="30" customHeight="1">
      <c r="A11" s="9" t="s">
        <v>8</v>
      </c>
      <c r="B11" s="19" t="s">
        <v>9</v>
      </c>
      <c r="C11" s="5"/>
      <c r="D11" s="5"/>
      <c r="E11" s="5"/>
      <c r="F11" s="5"/>
      <c r="G11" s="5"/>
      <c r="H11" s="5"/>
      <c r="I11" s="5"/>
      <c r="J11" s="5"/>
      <c r="K11" s="5"/>
      <c r="L11" s="5"/>
      <c r="M11" s="5"/>
      <c r="N11" s="5"/>
      <c r="O11" s="5"/>
      <c r="P11" s="5"/>
      <c r="Q11" s="5"/>
      <c r="R11" s="5"/>
      <c r="S11" s="5"/>
      <c r="T11" s="5"/>
      <c r="U11" s="5"/>
    </row>
    <row r="12" ht="24.949999999999999" customHeight="1">
      <c r="A12" s="13"/>
      <c r="B12" s="20" t="s">
        <v>10</v>
      </c>
      <c r="C12" s="5"/>
      <c r="D12" s="5"/>
      <c r="E12" s="5"/>
      <c r="F12" s="5"/>
      <c r="G12" s="5"/>
      <c r="H12" s="5"/>
      <c r="I12" s="5"/>
      <c r="J12" s="5"/>
      <c r="K12" s="5"/>
      <c r="L12" s="5"/>
      <c r="M12" s="5"/>
      <c r="N12" s="5"/>
      <c r="O12" s="5"/>
      <c r="P12" s="5"/>
      <c r="Q12" s="5"/>
      <c r="R12" s="5"/>
      <c r="S12" s="5"/>
      <c r="T12" s="5"/>
      <c r="U12" s="5"/>
    </row>
    <row r="13" ht="24.949999999999999" customHeight="1">
      <c r="A13" s="13"/>
      <c r="B13" s="21" t="s">
        <v>11</v>
      </c>
      <c r="C13" s="5"/>
      <c r="D13" s="5"/>
      <c r="E13" s="5"/>
      <c r="F13" s="5"/>
      <c r="G13" s="5"/>
      <c r="H13" s="5"/>
      <c r="I13" s="5"/>
      <c r="J13" s="5"/>
      <c r="K13" s="5"/>
      <c r="L13" s="5"/>
      <c r="M13" s="5"/>
      <c r="N13" s="5"/>
      <c r="O13" s="5"/>
      <c r="P13" s="5"/>
      <c r="Q13" s="5"/>
      <c r="R13" s="5"/>
      <c r="S13" s="5"/>
      <c r="T13" s="5"/>
      <c r="U13" s="5"/>
    </row>
    <row r="14" ht="24.949999999999999" customHeight="1">
      <c r="A14" s="17"/>
      <c r="B14" s="18">
        <v>0.050000000000000003</v>
      </c>
      <c r="C14" s="5"/>
      <c r="D14" s="5"/>
      <c r="E14" s="5"/>
      <c r="F14" s="5"/>
      <c r="G14" s="5"/>
      <c r="H14" s="5"/>
      <c r="I14" s="5"/>
      <c r="J14" s="5"/>
      <c r="K14" s="5"/>
      <c r="L14" s="5"/>
      <c r="M14" s="5"/>
      <c r="N14" s="5"/>
      <c r="O14" s="5"/>
      <c r="P14" s="5"/>
      <c r="Q14" s="5"/>
      <c r="R14" s="5"/>
      <c r="S14" s="5"/>
      <c r="T14" s="5"/>
      <c r="U14" s="5"/>
    </row>
    <row r="15" ht="15.75">
      <c r="A15" s="5"/>
      <c r="B15" s="5"/>
      <c r="C15" s="5"/>
      <c r="D15" s="5"/>
      <c r="E15" s="5"/>
      <c r="F15" s="5"/>
      <c r="G15" s="5"/>
      <c r="H15" s="5"/>
      <c r="I15" s="5"/>
      <c r="J15" s="5"/>
      <c r="K15" s="5"/>
      <c r="L15" s="5"/>
      <c r="M15" s="5"/>
      <c r="N15" s="5"/>
      <c r="O15" s="5"/>
      <c r="P15" s="5"/>
      <c r="Q15" s="5"/>
      <c r="R15" s="5"/>
      <c r="S15" s="5"/>
      <c r="T15" s="5"/>
      <c r="U15" s="5"/>
    </row>
    <row r="16" ht="30" customHeight="1">
      <c r="A16" s="22" t="s">
        <v>12</v>
      </c>
      <c r="B16" s="23" t="s">
        <v>13</v>
      </c>
      <c r="C16" s="24" t="s">
        <v>14</v>
      </c>
      <c r="D16" s="25" t="s">
        <v>15</v>
      </c>
      <c r="E16" s="5"/>
      <c r="F16" s="26" t="s">
        <v>16</v>
      </c>
      <c r="G16" s="27"/>
      <c r="H16" s="27"/>
      <c r="I16" s="27"/>
      <c r="J16" s="27"/>
      <c r="K16" s="27"/>
      <c r="L16" s="27"/>
      <c r="M16" s="27"/>
      <c r="N16" s="27"/>
      <c r="O16" s="27"/>
      <c r="P16" s="28"/>
      <c r="Q16" s="5"/>
      <c r="R16" s="5"/>
      <c r="S16" s="5"/>
      <c r="T16" s="5"/>
      <c r="U16" s="5"/>
    </row>
    <row r="17" ht="24.949999999999999" customHeight="1">
      <c r="A17" s="29"/>
      <c r="B17" s="30" t="s">
        <v>17</v>
      </c>
      <c r="C17" s="31" t="s">
        <v>18</v>
      </c>
      <c r="D17" s="32" t="s">
        <v>19</v>
      </c>
      <c r="E17" s="5"/>
      <c r="F17" s="33" t="s">
        <v>4</v>
      </c>
      <c r="G17" s="34" t="s">
        <v>20</v>
      </c>
      <c r="H17" s="35" t="s">
        <v>21</v>
      </c>
      <c r="I17" s="36" t="s">
        <v>22</v>
      </c>
      <c r="J17" s="35" t="s">
        <v>23</v>
      </c>
      <c r="K17" s="36" t="s">
        <v>24</v>
      </c>
      <c r="L17" s="37" t="s">
        <v>25</v>
      </c>
      <c r="M17" s="34" t="s">
        <v>26</v>
      </c>
      <c r="N17" s="35" t="s">
        <v>27</v>
      </c>
      <c r="O17" s="36" t="s">
        <v>28</v>
      </c>
      <c r="P17" s="38" t="s">
        <v>29</v>
      </c>
      <c r="Q17" s="5"/>
      <c r="R17" s="5"/>
      <c r="S17" s="5"/>
      <c r="T17" s="5"/>
      <c r="U17" s="5"/>
    </row>
    <row r="18">
      <c r="A18" s="29"/>
      <c r="B18" s="39" t="s">
        <v>30</v>
      </c>
      <c r="C18" s="40">
        <v>500</v>
      </c>
      <c r="D18" s="41">
        <f t="shared" ref="D18:D22" si="0">IF(ISBLANK(C18), 0, C18/C$23)</f>
        <v>0.5</v>
      </c>
      <c r="E18" s="5"/>
      <c r="F18" s="42">
        <f t="array" ref="F18">IF(ISBLANK(B18), "", _xlfn.XLOOKUP($B18,Tableau5[[#All],[nom]],Tableau5[[#All],[id_corps_gras]]))</f>
        <v>105</v>
      </c>
      <c r="G18" s="43">
        <f t="array" ref="G18">IF(ISBLANK(B18), "", _xlfn.XLOOKUP($B18,Tableau5[[#All],[nom]],Tableau5[[#All],[ins]]))</f>
        <v>248</v>
      </c>
      <c r="H18" s="44" t="str">
        <f t="array" ref="H18">IF(ISBLANK(B18), "", _xlfn.XLOOKUP($B18,Tableau5[[#All],[nom]],Tableau5[[#All],[sap_koh]]))</f>
        <v>257</v>
      </c>
      <c r="I18" s="43">
        <f t="array" ref="I18">IF(ISBLANK(B18), "", _xlfn.XLOOKUP($B18,Tableau5[[#All],[nom]],Tableau5[[#All],[iode]]))</f>
        <v>9</v>
      </c>
      <c r="J18" s="44">
        <f t="array" ref="J18">IF(ISBLANK(B18), "", _xlfn.XLOOKUP($B18,Tableau5[[#All],[nom]],Tableau5[[#All],[douceur]]))</f>
        <v>7.7460000000000004</v>
      </c>
      <c r="K18" s="43">
        <f t="array" ref="K18">IF(ISBLANK(B18), "", _xlfn.XLOOKUP($B18,Tableau5[[#All],[nom]],Tableau5[[#All],[lavant]]))</f>
        <v>14.462</v>
      </c>
      <c r="L18" s="44">
        <f t="array" ref="L18">IF(ISBLANK(B18), "", _xlfn.XLOOKUP($B18,Tableau5[[#All],[nom]],Tableau5[[#All],[vol_mousse]]))</f>
        <v>13.326000000000001</v>
      </c>
      <c r="M18" s="43">
        <f t="array" ref="M18">IF(ISBLANK(B18), "", _xlfn.XLOOKUP($B18,Tableau5[[#All],[nom]],Tableau5[[#All],[tenue_mousse]]))</f>
        <v>9.5600000000000005</v>
      </c>
      <c r="N18" s="44">
        <f t="array" ref="N18">IF(ISBLANK(B18), "", _xlfn.XLOOKUP($B18,Tableau5[[#All],[nom]],Tableau5[[#All],[durete]]))</f>
        <v>9.3900000000000006</v>
      </c>
      <c r="O18" s="43">
        <f t="array" ref="O18">IF(ISBLANK(B18), "", _xlfn.XLOOKUP($B18,Tableau5[[#All],[nom]],Tableau5[[#All],[solubilite]]))</f>
        <v>11.204000000000001</v>
      </c>
      <c r="P18" s="45">
        <f t="array" ref="P18">IF(ISBLANK(B18), "", _xlfn.XLOOKUP($B18,Tableau5[[#All],[nom]],Tableau5[[#All],[sechage]]))</f>
        <v>11.880000000000001</v>
      </c>
      <c r="Q18" s="5"/>
      <c r="R18" s="5"/>
      <c r="S18" s="5"/>
      <c r="T18" s="5"/>
      <c r="U18" s="5"/>
    </row>
    <row r="19">
      <c r="A19" s="29"/>
      <c r="B19" s="46" t="s">
        <v>31</v>
      </c>
      <c r="C19" s="47">
        <v>500</v>
      </c>
      <c r="D19" s="48">
        <f t="shared" si="0"/>
        <v>0.5</v>
      </c>
      <c r="E19" s="5"/>
      <c r="F19" s="49">
        <f t="array" ref="F19">IF(ISBLANK(B19), "", _xlfn.XLOOKUP($B19,Tableau5[[#All],[nom]],Tableau5[[#All],[id_corps_gras]]))</f>
        <v>51</v>
      </c>
      <c r="G19" s="50">
        <f t="array" ref="G19">IF(ISBLANK(B19), "", _xlfn.XLOOKUP($B19,Tableau5[[#All],[nom]],Tableau5[[#All],[ins]]))</f>
        <v>111</v>
      </c>
      <c r="H19" s="51">
        <f t="array" ref="H19">IF(ISBLANK(B19), "", _xlfn.XLOOKUP($B19,Tableau5[[#All],[nom]],Tableau5[[#All],[sap_koh]]))</f>
        <v>189</v>
      </c>
      <c r="I19" s="50">
        <f t="array" ref="I19">IF(ISBLANK(B19), "", _xlfn.XLOOKUP($B19,Tableau5[[#All],[nom]],Tableau5[[#All],[iode]]))</f>
        <v>78</v>
      </c>
      <c r="J19" s="51">
        <f t="array" ref="J19">IF(ISBLANK(B19), "", _xlfn.XLOOKUP($B19,Tableau5[[#All],[nom]],Tableau5[[#All],[douceur]]))</f>
        <v>9.2599999999999998</v>
      </c>
      <c r="K19" s="50">
        <f t="array" ref="K19">IF(ISBLANK(B19), "", _xlfn.XLOOKUP($B19,Tableau5[[#All],[nom]],Tableau5[[#All],[lavant]]))</f>
        <v>10.192</v>
      </c>
      <c r="L19" s="51">
        <f t="array" ref="L19">IF(ISBLANK(B19), "", _xlfn.XLOOKUP($B19,Tableau5[[#All],[nom]],Tableau5[[#All],[vol_mousse]]))</f>
        <v>9.8379999999999992</v>
      </c>
      <c r="M19" s="50">
        <f t="array" ref="M19">IF(ISBLANK(B19), "", _xlfn.XLOOKUP($B19,Tableau5[[#All],[nom]],Tableau5[[#All],[tenue_mousse]]))</f>
        <v>9.1519999999999992</v>
      </c>
      <c r="N19" s="51">
        <f t="array" ref="N19">IF(ISBLANK(B19), "", _xlfn.XLOOKUP($B19,Tableau5[[#All],[nom]],Tableau5[[#All],[durete]]))</f>
        <v>10.144</v>
      </c>
      <c r="O19" s="50">
        <f t="array" ref="O19">IF(ISBLANK(B19), "", _xlfn.XLOOKUP($B19,Tableau5[[#All],[nom]],Tableau5[[#All],[solubilite]]))</f>
        <v>9.298</v>
      </c>
      <c r="P19" s="52">
        <f t="array" ref="P19">IF(ISBLANK(B19), "", _xlfn.XLOOKUP($B19,Tableau5[[#All],[nom]],Tableau5[[#All],[sechage]]))</f>
        <v>10.194000000000001</v>
      </c>
      <c r="Q19" s="5"/>
      <c r="R19" s="5"/>
      <c r="S19" s="5"/>
      <c r="T19" s="5"/>
      <c r="U19" s="5"/>
    </row>
    <row r="20">
      <c r="A20" s="29"/>
      <c r="B20" s="53"/>
      <c r="C20" s="54"/>
      <c r="D20" s="55">
        <f t="shared" si="0"/>
        <v>0</v>
      </c>
      <c r="E20" s="5"/>
      <c r="F20" s="49" t="str">
        <f t="array" ref="F20">IF(ISBLANK(B20), "", _xlfn.XLOOKUP($B20,Tableau5[[#All],[nom]],Tableau5[[#All],[id_corps_gras]]))</f>
        <v/>
      </c>
      <c r="G20" s="56" t="str">
        <f t="array" ref="G20">IF(ISBLANK(B20), "", _xlfn.XLOOKUP($B20,Tableau5[[#All],[nom]],Tableau5[[#All],[ins]]))</f>
        <v/>
      </c>
      <c r="H20" s="51" t="str">
        <f t="array" ref="H20">IF(ISBLANK(B20), "", _xlfn.XLOOKUP($B20,Tableau5[[#All],[nom]],Tableau5[[#All],[sap_koh]]))</f>
        <v/>
      </c>
      <c r="I20" s="56" t="str">
        <f t="array" ref="I20">IF(ISBLANK(B20), "", _xlfn.XLOOKUP($B20,Tableau5[[#All],[nom]],Tableau5[[#All],[iode]]))</f>
        <v/>
      </c>
      <c r="J20" s="51" t="str">
        <f t="array" ref="J20">IF(ISBLANK(B20), "", _xlfn.XLOOKUP($B20,Tableau5[[#All],[nom]],Tableau5[[#All],[douceur]]))</f>
        <v/>
      </c>
      <c r="K20" s="56" t="str">
        <f t="array" ref="K20">IF(ISBLANK(B20), "", _xlfn.XLOOKUP($B20,Tableau5[[#All],[nom]],Tableau5[[#All],[lavant]]))</f>
        <v/>
      </c>
      <c r="L20" s="51" t="str">
        <f t="array" ref="L20">IF(ISBLANK(B20), "", _xlfn.XLOOKUP($B20,Tableau5[[#All],[nom]],Tableau5[[#All],[vol_mousse]]))</f>
        <v/>
      </c>
      <c r="M20" s="56" t="str">
        <f t="array" ref="M20">IF(ISBLANK(B20), "", _xlfn.XLOOKUP($B20,Tableau5[[#All],[nom]],Tableau5[[#All],[tenue_mousse]]))</f>
        <v/>
      </c>
      <c r="N20" s="51" t="str">
        <f t="array" ref="N20">IF(ISBLANK(B20), "", _xlfn.XLOOKUP($B20,Tableau5[[#All],[nom]],Tableau5[[#All],[durete]]))</f>
        <v/>
      </c>
      <c r="O20" s="56" t="str">
        <f t="array" ref="O20">IF(ISBLANK(B20), "", _xlfn.XLOOKUP($B20,Tableau5[[#All],[nom]],Tableau5[[#All],[solubilite]]))</f>
        <v/>
      </c>
      <c r="P20" s="52" t="str">
        <f t="array" ref="P20">IF(ISBLANK(B20), "", _xlfn.XLOOKUP($B20,Tableau5[[#All],[nom]],Tableau5[[#All],[sechage]]))</f>
        <v/>
      </c>
      <c r="Q20" s="5"/>
      <c r="R20" s="5"/>
      <c r="S20" s="5"/>
      <c r="T20" s="5"/>
      <c r="U20" s="5"/>
    </row>
    <row r="21">
      <c r="A21" s="29"/>
      <c r="B21" s="46"/>
      <c r="C21" s="57"/>
      <c r="D21" s="58">
        <f t="shared" si="0"/>
        <v>0</v>
      </c>
      <c r="E21" s="5"/>
      <c r="F21" s="49" t="str">
        <f t="array" ref="F21">IF(ISBLANK(B21), "", _xlfn.XLOOKUP($B21,Tableau5[[#All],[nom]],Tableau5[[#All],[id_corps_gras]]))</f>
        <v/>
      </c>
      <c r="G21" s="50" t="str">
        <f t="array" ref="G21">IF(ISBLANK(B21), "", _xlfn.XLOOKUP($B21,Tableau5[[#All],[nom]],Tableau5[[#All],[ins]]))</f>
        <v/>
      </c>
      <c r="H21" s="51" t="str">
        <f t="array" ref="H21">IF(ISBLANK(B21), "", _xlfn.XLOOKUP($B21,Tableau5[[#All],[nom]],Tableau5[[#All],[sap_koh]]))</f>
        <v/>
      </c>
      <c r="I21" s="50" t="str">
        <f t="array" ref="I21">IF(ISBLANK(B21), "", _xlfn.XLOOKUP($B21,Tableau5[[#All],[nom]],Tableau5[[#All],[iode]]))</f>
        <v/>
      </c>
      <c r="J21" s="51" t="str">
        <f t="array" ref="J21">IF(ISBLANK(B21), "", _xlfn.XLOOKUP($B21,Tableau5[[#All],[nom]],Tableau5[[#All],[douceur]]))</f>
        <v/>
      </c>
      <c r="K21" s="50" t="str">
        <f t="array" ref="K21">IF(ISBLANK(B21), "", _xlfn.XLOOKUP($B21,Tableau5[[#All],[nom]],Tableau5[[#All],[lavant]]))</f>
        <v/>
      </c>
      <c r="L21" s="51" t="str">
        <f t="array" ref="L21">IF(ISBLANK(B21), "", _xlfn.XLOOKUP($B21,Tableau5[[#All],[nom]],Tableau5[[#All],[vol_mousse]]))</f>
        <v/>
      </c>
      <c r="M21" s="50" t="str">
        <f t="array" ref="M21">IF(ISBLANK(B21), "", _xlfn.XLOOKUP($B21,Tableau5[[#All],[nom]],Tableau5[[#All],[tenue_mousse]]))</f>
        <v/>
      </c>
      <c r="N21" s="51" t="str">
        <f t="array" ref="N21">IF(ISBLANK(B21), "", _xlfn.XLOOKUP($B21,Tableau5[[#All],[nom]],Tableau5[[#All],[durete]]))</f>
        <v/>
      </c>
      <c r="O21" s="50" t="str">
        <f t="array" ref="O21">IF(ISBLANK(B21), "", _xlfn.XLOOKUP($B21,Tableau5[[#All],[nom]],Tableau5[[#All],[solubilite]]))</f>
        <v/>
      </c>
      <c r="P21" s="52" t="str">
        <f t="array" ref="P21">IF(ISBLANK(B21), "", _xlfn.XLOOKUP($B21,Tableau5[[#All],[nom]],Tableau5[[#All],[sechage]]))</f>
        <v/>
      </c>
      <c r="Q21" s="5"/>
      <c r="R21" s="5"/>
      <c r="S21" s="5"/>
      <c r="T21" s="5"/>
      <c r="U21" s="5"/>
    </row>
    <row r="22" ht="15.75">
      <c r="A22" s="29"/>
      <c r="B22" s="59"/>
      <c r="C22" s="60"/>
      <c r="D22" s="61">
        <f t="shared" si="0"/>
        <v>0</v>
      </c>
      <c r="E22" s="5"/>
      <c r="F22" s="62" t="str">
        <f t="array" ref="F22">IF(ISBLANK(B22), "", _xlfn.XLOOKUP($B22,Tableau5[[#All],[nom]],Tableau5[[#All],[id_corps_gras]]))</f>
        <v/>
      </c>
      <c r="G22" s="63" t="str">
        <f t="array" ref="G22">IF(ISBLANK(B22), "", _xlfn.XLOOKUP($B22,Tableau5[[#All],[nom]],Tableau5[[#All],[ins]]))</f>
        <v/>
      </c>
      <c r="H22" s="64" t="str">
        <f t="array" ref="H22">IF(ISBLANK(B22), "", _xlfn.XLOOKUP($B22,Tableau5[[#All],[nom]],Tableau5[[#All],[sap_koh]]))</f>
        <v/>
      </c>
      <c r="I22" s="63" t="str">
        <f t="array" ref="I22">IF(ISBLANK(B22), "", _xlfn.XLOOKUP($B22,Tableau5[[#All],[nom]],Tableau5[[#All],[iode]]))</f>
        <v/>
      </c>
      <c r="J22" s="64" t="str">
        <f t="array" ref="J22">IF(ISBLANK(B22), "", _xlfn.XLOOKUP($B22,Tableau5[[#All],[nom]],Tableau5[[#All],[douceur]]))</f>
        <v/>
      </c>
      <c r="K22" s="63" t="str">
        <f t="array" ref="K22">IF(ISBLANK(B22), "", _xlfn.XLOOKUP($B22,Tableau5[[#All],[nom]],Tableau5[[#All],[lavant]]))</f>
        <v/>
      </c>
      <c r="L22" s="64" t="str">
        <f t="array" ref="L22">IF(ISBLANK(B22), "", _xlfn.XLOOKUP($B22,Tableau5[[#All],[nom]],Tableau5[[#All],[vol_mousse]]))</f>
        <v/>
      </c>
      <c r="M22" s="63" t="str">
        <f t="array" ref="M22">IF(ISBLANK(B22), "", _xlfn.XLOOKUP($B22,Tableau5[[#All],[nom]],Tableau5[[#All],[tenue_mousse]]))</f>
        <v/>
      </c>
      <c r="N22" s="64" t="str">
        <f t="array" ref="N22">IF(ISBLANK(B22), "", _xlfn.XLOOKUP($B22,Tableau5[[#All],[nom]],Tableau5[[#All],[durete]]))</f>
        <v/>
      </c>
      <c r="O22" s="63" t="str">
        <f t="array" ref="O22">IF(ISBLANK(B22), "", _xlfn.XLOOKUP($B22,Tableau5[[#All],[nom]],Tableau5[[#All],[solubilite]]))</f>
        <v/>
      </c>
      <c r="P22" s="65" t="str">
        <f t="array" ref="P22">IF(ISBLANK(B22), "", _xlfn.XLOOKUP($B22,Tableau5[[#All],[nom]],Tableau5[[#All],[sechage]]))</f>
        <v/>
      </c>
      <c r="Q22" s="5"/>
      <c r="R22" s="5"/>
      <c r="S22" s="5"/>
      <c r="T22" s="5"/>
      <c r="U22" s="5"/>
    </row>
    <row r="23" ht="24.949999999999999" customHeight="1">
      <c r="A23" s="66"/>
      <c r="B23" s="67" t="s">
        <v>32</v>
      </c>
      <c r="C23" s="68">
        <f>SUM(C18:C22)</f>
        <v>1000</v>
      </c>
      <c r="D23" s="69">
        <f>SUM(D18:D22)</f>
        <v>1</v>
      </c>
      <c r="E23" s="5"/>
      <c r="F23" s="5"/>
      <c r="G23" s="5"/>
      <c r="H23" s="5"/>
      <c r="I23" s="5"/>
      <c r="J23" s="5"/>
      <c r="K23" s="5"/>
      <c r="L23" s="5"/>
      <c r="M23" s="5"/>
      <c r="N23" s="5"/>
      <c r="O23" s="5"/>
      <c r="P23" s="5"/>
      <c r="Q23" s="5"/>
      <c r="R23" s="5"/>
      <c r="S23" s="5"/>
      <c r="T23" s="5"/>
      <c r="U23" s="5"/>
    </row>
    <row r="24">
      <c r="A24" s="5"/>
      <c r="B24" s="5"/>
      <c r="C24" s="5"/>
      <c r="D24" s="5"/>
      <c r="E24" s="5"/>
      <c r="F24" s="5"/>
      <c r="G24" s="5"/>
      <c r="H24" s="5"/>
      <c r="I24" s="5"/>
      <c r="J24" s="5"/>
      <c r="K24" s="5"/>
      <c r="L24" s="5"/>
      <c r="M24" s="5"/>
      <c r="N24" s="5"/>
      <c r="O24" s="5"/>
      <c r="P24" s="5"/>
      <c r="Q24" s="5"/>
      <c r="R24" s="5"/>
      <c r="S24" s="5"/>
      <c r="T24" s="5"/>
      <c r="U24" s="5"/>
    </row>
    <row r="25" ht="15.75">
      <c r="A25" s="5"/>
      <c r="B25" s="5"/>
      <c r="C25" s="5"/>
      <c r="D25" s="5"/>
      <c r="E25" s="5"/>
      <c r="F25" s="5"/>
      <c r="G25" s="5"/>
      <c r="H25" s="5"/>
      <c r="I25" s="5"/>
      <c r="J25" s="5"/>
      <c r="K25" s="5"/>
      <c r="L25" s="5"/>
      <c r="M25" s="5"/>
      <c r="N25" s="5"/>
      <c r="O25" s="5"/>
      <c r="P25" s="5"/>
      <c r="Q25" s="5"/>
      <c r="R25" s="5"/>
      <c r="S25" s="5"/>
      <c r="T25" s="5"/>
      <c r="U25" s="5"/>
    </row>
    <row r="26" ht="15.75">
      <c r="A26" s="5"/>
      <c r="B26" s="5"/>
      <c r="C26" s="5"/>
      <c r="D26" s="5"/>
      <c r="E26" s="5"/>
      <c r="F26" s="70" t="s">
        <v>33</v>
      </c>
      <c r="G26" s="71"/>
      <c r="H26" s="71"/>
      <c r="I26" s="71"/>
      <c r="J26" s="71"/>
      <c r="K26" s="71"/>
      <c r="L26" s="71"/>
      <c r="M26" s="72"/>
      <c r="N26" s="5"/>
      <c r="O26" s="5"/>
      <c r="P26" s="5"/>
      <c r="Q26" s="5"/>
      <c r="R26" s="5"/>
      <c r="S26" s="5"/>
      <c r="T26" s="5"/>
      <c r="U26" s="5"/>
    </row>
    <row r="27" ht="35.100000000000001" customHeight="1">
      <c r="A27" s="5"/>
      <c r="B27" s="5"/>
      <c r="C27" s="5"/>
      <c r="D27" s="5"/>
      <c r="E27" s="5"/>
      <c r="F27" s="70" t="s">
        <v>34</v>
      </c>
      <c r="G27" s="71"/>
      <c r="H27" s="71"/>
      <c r="I27" s="72"/>
      <c r="J27" s="73" t="s">
        <v>35</v>
      </c>
      <c r="K27" s="74" t="s">
        <v>36</v>
      </c>
      <c r="L27" s="74" t="s">
        <v>37</v>
      </c>
      <c r="M27" s="75" t="s">
        <v>38</v>
      </c>
      <c r="N27" s="5"/>
      <c r="O27" s="5"/>
      <c r="P27" s="5"/>
      <c r="Q27" s="5"/>
      <c r="R27" s="5"/>
      <c r="S27" s="5"/>
      <c r="T27" s="5"/>
      <c r="U27" s="5"/>
    </row>
    <row r="28">
      <c r="A28" s="5"/>
      <c r="B28" s="5"/>
      <c r="C28" s="5"/>
      <c r="D28" s="5"/>
      <c r="E28" s="5"/>
      <c r="F28" s="76" t="str">
        <f t="shared" ref="F28:F32" si="1">IF(ISBLANK(B18), "", B18)</f>
        <v>Coco</v>
      </c>
      <c r="G28" s="43"/>
      <c r="H28" s="43"/>
      <c r="I28" s="77"/>
      <c r="J28" s="78">
        <f t="shared" ref="J28:J32" si="2">IF(F28="", "", C18*H18*40/56/1000)</f>
        <v>91.785714285714292</v>
      </c>
      <c r="K28" s="79">
        <f t="shared" ref="K28:K32" si="3">IF(B$8=0,IF(F28="","",C18*H18*40/56/1000), IF(F28="","",C18*H18*40/56/1000/B$8))</f>
        <v>458.92857142857144</v>
      </c>
      <c r="L28" s="43">
        <f t="shared" ref="L28:L32" si="4">IF(F28="", "", C18*H18/1000)</f>
        <v>128.5</v>
      </c>
      <c r="M28" s="80">
        <f t="shared" ref="M28:M32" si="5">IF(ISBLANK(B$8), IF(F28="", "", C18*H18/1000), IF(F28="", "", C18*H18/1000/B$8))</f>
        <v>642.5</v>
      </c>
      <c r="N28" s="5"/>
      <c r="O28" s="5"/>
      <c r="P28" s="5"/>
      <c r="Q28" s="5"/>
      <c r="R28" s="5"/>
      <c r="S28" s="5"/>
      <c r="T28" s="5"/>
      <c r="U28" s="5"/>
    </row>
    <row r="29">
      <c r="A29" s="5"/>
      <c r="B29" s="5"/>
      <c r="C29" s="5"/>
      <c r="D29" s="5"/>
      <c r="E29" s="5"/>
      <c r="F29" s="81" t="str">
        <f t="shared" si="1"/>
        <v>Olive</v>
      </c>
      <c r="G29" s="56"/>
      <c r="H29" s="56"/>
      <c r="I29" s="82"/>
      <c r="J29" s="78">
        <f t="shared" si="2"/>
        <v>67.5</v>
      </c>
      <c r="K29" s="56">
        <f t="shared" si="3"/>
        <v>337.5</v>
      </c>
      <c r="L29" s="56">
        <f t="shared" si="4"/>
        <v>94.5</v>
      </c>
      <c r="M29" s="83">
        <f t="shared" si="5"/>
        <v>472.5</v>
      </c>
      <c r="N29" s="5"/>
      <c r="O29" s="5"/>
      <c r="P29" s="5"/>
      <c r="Q29" s="5"/>
      <c r="R29" s="5"/>
      <c r="S29" s="5"/>
      <c r="T29" s="5"/>
      <c r="U29" s="5"/>
    </row>
    <row r="30">
      <c r="A30" s="5"/>
      <c r="B30" s="5"/>
      <c r="C30" s="5"/>
      <c r="D30" s="5"/>
      <c r="E30" s="5"/>
      <c r="F30" s="81" t="str">
        <f t="shared" si="1"/>
        <v/>
      </c>
      <c r="G30" s="56"/>
      <c r="H30" s="56"/>
      <c r="I30" s="82"/>
      <c r="J30" s="78" t="str">
        <f t="shared" si="2"/>
        <v/>
      </c>
      <c r="K30" s="56" t="str">
        <f t="shared" si="3"/>
        <v/>
      </c>
      <c r="L30" s="56" t="str">
        <f t="shared" si="4"/>
        <v/>
      </c>
      <c r="M30" s="83" t="str">
        <f t="shared" si="5"/>
        <v/>
      </c>
      <c r="N30" s="5"/>
      <c r="O30" s="5"/>
      <c r="P30" s="5"/>
      <c r="Q30" s="5"/>
      <c r="R30" s="5"/>
      <c r="S30" s="5"/>
      <c r="T30" s="5"/>
      <c r="U30" s="5"/>
    </row>
    <row r="31">
      <c r="A31" s="5"/>
      <c r="B31" s="5"/>
      <c r="C31" s="5"/>
      <c r="D31" s="5"/>
      <c r="E31" s="5"/>
      <c r="F31" s="81" t="str">
        <f t="shared" si="1"/>
        <v/>
      </c>
      <c r="G31" s="56"/>
      <c r="H31" s="56"/>
      <c r="I31" s="82"/>
      <c r="J31" s="78" t="str">
        <f t="shared" si="2"/>
        <v/>
      </c>
      <c r="K31" s="56" t="str">
        <f t="shared" si="3"/>
        <v/>
      </c>
      <c r="L31" s="56" t="str">
        <f t="shared" si="4"/>
        <v/>
      </c>
      <c r="M31" s="83" t="str">
        <f t="shared" si="5"/>
        <v/>
      </c>
      <c r="N31" s="5"/>
      <c r="O31" s="5"/>
      <c r="P31" s="5"/>
      <c r="Q31" s="5"/>
      <c r="R31" s="5"/>
      <c r="S31" s="5"/>
      <c r="T31" s="5"/>
      <c r="U31" s="5"/>
    </row>
    <row r="32" ht="15.75">
      <c r="A32" s="5"/>
      <c r="B32" s="5"/>
      <c r="C32" s="5"/>
      <c r="D32" s="5"/>
      <c r="E32" s="5"/>
      <c r="F32" s="81" t="str">
        <f t="shared" si="1"/>
        <v/>
      </c>
      <c r="G32" s="56"/>
      <c r="H32" s="56"/>
      <c r="I32" s="82"/>
      <c r="J32" s="84" t="str">
        <f t="shared" si="2"/>
        <v/>
      </c>
      <c r="K32" s="85" t="str">
        <f t="shared" si="3"/>
        <v/>
      </c>
      <c r="L32" s="85" t="str">
        <f t="shared" si="4"/>
        <v/>
      </c>
      <c r="M32" s="86" t="str">
        <f t="shared" si="5"/>
        <v/>
      </c>
      <c r="N32" s="5"/>
      <c r="O32" s="5"/>
      <c r="P32" s="5"/>
      <c r="Q32" s="5"/>
      <c r="R32" s="5"/>
      <c r="S32" s="5"/>
      <c r="T32" s="5"/>
      <c r="U32" s="5"/>
    </row>
    <row r="33" ht="15.75">
      <c r="A33" s="5"/>
      <c r="B33" s="5"/>
      <c r="C33" s="5"/>
      <c r="D33" s="5"/>
      <c r="E33" s="5"/>
      <c r="F33" s="70" t="s">
        <v>39</v>
      </c>
      <c r="G33" s="71"/>
      <c r="H33" s="71"/>
      <c r="I33" s="72"/>
      <c r="J33" s="87">
        <f>SUM(J28:J32)</f>
        <v>159.28571428571428</v>
      </c>
      <c r="K33" s="88">
        <f t="shared" ref="K33:M33" si="6">SUM(K28:K32)</f>
        <v>796.42857142857144</v>
      </c>
      <c r="L33" s="88">
        <f t="shared" si="6"/>
        <v>223</v>
      </c>
      <c r="M33" s="89">
        <f t="shared" si="6"/>
        <v>1115</v>
      </c>
      <c r="N33" s="5"/>
      <c r="O33" s="5"/>
      <c r="P33" s="5"/>
      <c r="Q33" s="5"/>
      <c r="R33" s="5"/>
      <c r="S33" s="5"/>
      <c r="T33" s="5"/>
      <c r="U33" s="5"/>
    </row>
    <row r="34" ht="15.75">
      <c r="A34" s="5"/>
      <c r="B34" s="5"/>
      <c r="C34" s="5"/>
      <c r="D34" s="5"/>
      <c r="E34" s="5"/>
      <c r="F34" s="70" t="s">
        <v>40</v>
      </c>
      <c r="G34" s="71"/>
      <c r="H34" s="71"/>
      <c r="I34" s="72"/>
      <c r="J34" s="87">
        <f>J33*(1-$B14)</f>
        <v>151.32142857142856</v>
      </c>
      <c r="K34" s="90">
        <f>K33*(1-$B14)</f>
        <v>756.60714285714289</v>
      </c>
      <c r="L34" s="88">
        <f>L33*(1-$B14)/0.9</f>
        <v>235.38888888888889</v>
      </c>
      <c r="M34" s="91">
        <f>M33*(1-$B14)</f>
        <v>1059.25</v>
      </c>
      <c r="N34" s="5"/>
      <c r="O34" s="5"/>
      <c r="P34" s="5"/>
      <c r="Q34" s="5"/>
      <c r="R34" s="5"/>
      <c r="S34" s="5"/>
      <c r="T34" s="5"/>
      <c r="U34" s="5"/>
    </row>
    <row r="35" ht="15.75">
      <c r="A35" s="5"/>
      <c r="B35" s="5"/>
      <c r="C35" s="5"/>
      <c r="D35" s="5"/>
      <c r="E35" s="5"/>
      <c r="F35" s="70" t="s">
        <v>41</v>
      </c>
      <c r="G35" s="71"/>
      <c r="H35" s="71"/>
      <c r="I35" s="72"/>
      <c r="J35" s="87">
        <f>J33*(1+$B14)</f>
        <v>167.25</v>
      </c>
      <c r="K35" s="87">
        <f>K33*(1+$B14)</f>
        <v>836.25</v>
      </c>
      <c r="L35" s="87">
        <f>L33*(1+$B14)/0.9</f>
        <v>260.16666666666669</v>
      </c>
      <c r="M35" s="87">
        <f>M33*(1+$B14)</f>
        <v>1170.75</v>
      </c>
      <c r="N35" s="5"/>
      <c r="O35" s="5"/>
      <c r="P35" s="5"/>
      <c r="Q35" s="5"/>
      <c r="R35" s="5"/>
      <c r="S35" s="5"/>
      <c r="T35" s="5"/>
      <c r="U35" s="5"/>
    </row>
    <row r="36">
      <c r="A36" s="5"/>
      <c r="B36" s="5"/>
      <c r="C36" s="5"/>
      <c r="D36" s="5"/>
      <c r="E36" s="5"/>
      <c r="F36" s="5"/>
      <c r="G36" s="5"/>
      <c r="H36" s="5"/>
      <c r="I36" s="5"/>
      <c r="J36" s="5"/>
      <c r="K36" s="5"/>
      <c r="L36" s="5"/>
      <c r="M36" s="5"/>
      <c r="N36" s="5"/>
      <c r="O36" s="5"/>
      <c r="P36" s="5"/>
      <c r="Q36" s="5"/>
      <c r="R36" s="5"/>
      <c r="S36" s="5"/>
      <c r="T36" s="5"/>
      <c r="U36" s="5"/>
    </row>
    <row r="37" ht="15.75">
      <c r="A37" s="5"/>
      <c r="B37" s="5"/>
      <c r="C37" s="5"/>
      <c r="D37" s="5"/>
      <c r="E37" s="5"/>
      <c r="F37" s="5"/>
      <c r="G37" s="5"/>
      <c r="H37" s="5"/>
      <c r="I37" s="5"/>
      <c r="J37" s="5"/>
      <c r="K37" s="5"/>
      <c r="L37" s="5"/>
      <c r="M37" s="5"/>
      <c r="N37" s="5"/>
      <c r="O37" s="5"/>
      <c r="P37" s="5"/>
      <c r="Q37" s="5"/>
      <c r="R37" s="5"/>
      <c r="S37" s="5"/>
      <c r="T37" s="5"/>
      <c r="U37" s="5"/>
    </row>
    <row r="38" ht="15.75">
      <c r="A38" s="5"/>
      <c r="B38" s="5"/>
      <c r="C38" s="5"/>
      <c r="D38" s="5"/>
      <c r="E38" s="5"/>
      <c r="F38" s="5"/>
      <c r="G38" s="5"/>
      <c r="H38" s="5"/>
      <c r="I38" s="5"/>
      <c r="J38" s="92" t="s">
        <v>42</v>
      </c>
      <c r="K38" s="93"/>
      <c r="L38" s="93"/>
      <c r="M38" s="94"/>
      <c r="N38" s="5"/>
      <c r="O38" s="5"/>
      <c r="P38" s="5"/>
      <c r="Q38" s="5"/>
      <c r="R38" s="5"/>
      <c r="S38" s="5"/>
      <c r="T38" s="5"/>
      <c r="U38" s="5"/>
    </row>
    <row r="39" ht="28.5">
      <c r="A39" s="5"/>
      <c r="B39" s="5"/>
      <c r="C39" s="5"/>
      <c r="D39" s="5"/>
      <c r="E39" s="5"/>
      <c r="F39" s="5"/>
      <c r="G39" s="5"/>
      <c r="H39" s="5"/>
      <c r="I39" s="5"/>
      <c r="J39" s="95" t="s">
        <v>35</v>
      </c>
      <c r="K39" s="96" t="s">
        <v>36</v>
      </c>
      <c r="L39" s="96" t="s">
        <v>37</v>
      </c>
      <c r="M39" s="97" t="s">
        <v>38</v>
      </c>
      <c r="N39" s="5"/>
      <c r="O39" s="5"/>
      <c r="P39" s="5"/>
      <c r="Q39" s="5"/>
      <c r="R39" s="5"/>
      <c r="S39" s="5"/>
      <c r="T39" s="5"/>
      <c r="U39" s="5"/>
    </row>
    <row r="40">
      <c r="A40" s="5"/>
      <c r="B40" s="5"/>
      <c r="C40" s="5"/>
      <c r="D40" s="5"/>
      <c r="E40" s="98" t="s">
        <v>43</v>
      </c>
      <c r="F40" s="99" t="s">
        <v>44</v>
      </c>
      <c r="G40" s="100"/>
      <c r="H40" s="100"/>
      <c r="I40" s="101"/>
      <c r="J40" s="102">
        <v>0</v>
      </c>
      <c r="K40" s="103">
        <f>K33*(1-B$8)</f>
        <v>637.14285714285722</v>
      </c>
      <c r="L40" s="103">
        <f>L33*0.1</f>
        <v>22.300000000000001</v>
      </c>
      <c r="M40" s="104">
        <f>M33*(1-B$8)</f>
        <v>892</v>
      </c>
      <c r="N40" s="5"/>
      <c r="O40" s="5"/>
      <c r="P40" s="5"/>
      <c r="Q40" s="5"/>
      <c r="R40" s="5"/>
      <c r="S40" s="5"/>
      <c r="T40" s="5"/>
      <c r="U40" s="5"/>
    </row>
    <row r="41">
      <c r="A41" s="5"/>
      <c r="B41" s="5"/>
      <c r="C41" s="5"/>
      <c r="D41" s="5"/>
      <c r="E41" s="105"/>
      <c r="F41" s="106" t="s">
        <v>45</v>
      </c>
      <c r="G41" s="107"/>
      <c r="H41" s="107"/>
      <c r="I41" s="108"/>
      <c r="J41" s="109">
        <f>C23/1000*320</f>
        <v>320</v>
      </c>
      <c r="K41" s="110">
        <f>C23/1000*320-K40</f>
        <v>-317.14285714285722</v>
      </c>
      <c r="L41" s="110">
        <f>C23/1000*320-L40</f>
        <v>297.69999999999999</v>
      </c>
      <c r="M41" s="83">
        <f>C23/1000*320-M40</f>
        <v>-572</v>
      </c>
      <c r="N41" s="5"/>
      <c r="O41" s="5"/>
      <c r="P41" s="5"/>
      <c r="Q41" s="5"/>
      <c r="R41" s="5"/>
      <c r="S41" s="5"/>
      <c r="T41" s="5"/>
      <c r="U41" s="5"/>
    </row>
    <row r="42" ht="15.75">
      <c r="A42" s="5"/>
      <c r="B42" s="5"/>
      <c r="C42" s="5"/>
      <c r="D42" s="5"/>
      <c r="E42" s="111"/>
      <c r="F42" s="112" t="s">
        <v>46</v>
      </c>
      <c r="G42" s="113"/>
      <c r="H42" s="113"/>
      <c r="I42" s="114"/>
      <c r="J42" s="115">
        <f>C23/1000*360</f>
        <v>360</v>
      </c>
      <c r="K42" s="116">
        <f>C23/1000*360-K40</f>
        <v>-277.14285714285722</v>
      </c>
      <c r="L42" s="116">
        <f>C23/1000*360-L40</f>
        <v>337.69999999999999</v>
      </c>
      <c r="M42" s="117">
        <f>C23/1000*360-M40</f>
        <v>-532</v>
      </c>
      <c r="N42" s="5"/>
      <c r="O42" s="5"/>
      <c r="P42" s="5"/>
      <c r="Q42" s="5"/>
      <c r="R42" s="5"/>
      <c r="S42" s="5"/>
      <c r="T42" s="5"/>
      <c r="U42" s="5"/>
    </row>
    <row r="43" ht="15.75" customHeight="1">
      <c r="A43" s="5"/>
      <c r="B43" s="5"/>
      <c r="C43" s="5"/>
      <c r="D43" s="5"/>
      <c r="E43" s="98" t="s">
        <v>47</v>
      </c>
      <c r="F43" s="99" t="s">
        <v>44</v>
      </c>
      <c r="G43" s="100"/>
      <c r="H43" s="100"/>
      <c r="I43" s="101"/>
      <c r="J43" s="102">
        <v>0</v>
      </c>
      <c r="K43" s="118">
        <f>K34*(1-B$8)</f>
        <v>605.28571428571433</v>
      </c>
      <c r="L43" s="118">
        <f>L34*0.1</f>
        <v>23.538888888888891</v>
      </c>
      <c r="M43" s="119">
        <f>M34*(1-B8)</f>
        <v>847.40000000000009</v>
      </c>
      <c r="N43" s="5"/>
      <c r="O43" s="5"/>
      <c r="P43" s="5"/>
      <c r="Q43" s="5"/>
      <c r="R43" s="5"/>
      <c r="S43" s="5"/>
      <c r="T43" s="5"/>
      <c r="U43" s="5"/>
    </row>
    <row r="44">
      <c r="A44" s="5"/>
      <c r="B44" s="5"/>
      <c r="C44" s="5"/>
      <c r="D44" s="5"/>
      <c r="E44" s="105"/>
      <c r="F44" s="106" t="s">
        <v>45</v>
      </c>
      <c r="G44" s="107"/>
      <c r="H44" s="107"/>
      <c r="I44" s="108"/>
      <c r="J44" s="109">
        <f>C23/1000*320</f>
        <v>320</v>
      </c>
      <c r="K44" s="120">
        <f>C23/1000*320-K43</f>
        <v>-285.28571428571433</v>
      </c>
      <c r="L44" s="120">
        <f>C23/1000*320-L43</f>
        <v>296.46111111111111</v>
      </c>
      <c r="M44" s="121">
        <f>C23/1000*320-M43</f>
        <v>-527.40000000000009</v>
      </c>
      <c r="N44" s="5"/>
      <c r="O44" s="5"/>
      <c r="P44" s="5"/>
      <c r="Q44" s="5"/>
      <c r="R44" s="5"/>
      <c r="S44" s="5"/>
      <c r="T44" s="5"/>
      <c r="U44" s="5"/>
    </row>
    <row r="45" ht="15.75">
      <c r="A45" s="5"/>
      <c r="B45" s="5"/>
      <c r="C45" s="5"/>
      <c r="D45" s="5"/>
      <c r="E45" s="111"/>
      <c r="F45" s="112" t="s">
        <v>46</v>
      </c>
      <c r="G45" s="113"/>
      <c r="H45" s="113"/>
      <c r="I45" s="114"/>
      <c r="J45" s="115">
        <f>C23/1000*360</f>
        <v>360</v>
      </c>
      <c r="K45" s="122">
        <f>C23/1000*360-K43</f>
        <v>-245.28571428571433</v>
      </c>
      <c r="L45" s="122">
        <f>C23/1000*360-L43</f>
        <v>336.46111111111111</v>
      </c>
      <c r="M45" s="123">
        <f>C23/1000*360-M43</f>
        <v>-487.40000000000009</v>
      </c>
      <c r="N45" s="5"/>
      <c r="O45" s="5"/>
      <c r="P45" s="5"/>
      <c r="Q45" s="5"/>
      <c r="R45" s="5"/>
      <c r="S45" s="5"/>
      <c r="T45" s="5"/>
      <c r="U45" s="5"/>
    </row>
    <row r="46" ht="15.75" customHeight="1">
      <c r="A46" s="5"/>
      <c r="B46" s="5"/>
      <c r="C46" s="5"/>
      <c r="D46" s="5"/>
      <c r="E46" s="98" t="s">
        <v>48</v>
      </c>
      <c r="F46" s="99" t="s">
        <v>44</v>
      </c>
      <c r="G46" s="100"/>
      <c r="H46" s="100"/>
      <c r="I46" s="101"/>
      <c r="J46" s="102">
        <v>0</v>
      </c>
      <c r="K46" s="118">
        <f>K35*(1-B$8)</f>
        <v>669</v>
      </c>
      <c r="L46" s="118">
        <f>L35*0.1</f>
        <v>26.016666666666669</v>
      </c>
      <c r="M46" s="119">
        <f>M35*(1-B$8)</f>
        <v>936.60000000000002</v>
      </c>
      <c r="N46" s="5"/>
      <c r="O46" s="5"/>
      <c r="P46" s="5"/>
      <c r="Q46" s="5"/>
      <c r="R46" s="5"/>
      <c r="S46" s="5"/>
      <c r="T46" s="5"/>
      <c r="U46" s="5"/>
    </row>
    <row r="47">
      <c r="A47" s="5"/>
      <c r="B47" s="5"/>
      <c r="C47" s="5"/>
      <c r="D47" s="5"/>
      <c r="E47" s="105"/>
      <c r="F47" s="106" t="s">
        <v>45</v>
      </c>
      <c r="G47" s="107"/>
      <c r="H47" s="107"/>
      <c r="I47" s="108"/>
      <c r="J47" s="109">
        <f>C23/1000*320</f>
        <v>320</v>
      </c>
      <c r="K47" s="120">
        <f>C23/1000*320-K46</f>
        <v>-349</v>
      </c>
      <c r="L47" s="120">
        <f>C23/1000*320-L46</f>
        <v>293.98333333333335</v>
      </c>
      <c r="M47" s="121">
        <f>C23/1000*320-M46</f>
        <v>-616.60000000000002</v>
      </c>
      <c r="N47" s="5"/>
      <c r="O47" s="5"/>
      <c r="P47" s="5"/>
      <c r="Q47" s="5"/>
      <c r="R47" s="5"/>
      <c r="S47" s="5"/>
      <c r="T47" s="5"/>
      <c r="U47" s="5"/>
    </row>
    <row r="48" ht="15.75">
      <c r="A48" s="5"/>
      <c r="B48" s="5"/>
      <c r="C48" s="5"/>
      <c r="D48" s="5"/>
      <c r="E48" s="111"/>
      <c r="F48" s="112" t="s">
        <v>46</v>
      </c>
      <c r="G48" s="113"/>
      <c r="H48" s="113"/>
      <c r="I48" s="114"/>
      <c r="J48" s="115">
        <f>C23/1000*360</f>
        <v>360</v>
      </c>
      <c r="K48" s="122">
        <f>C23/1000*360-K46</f>
        <v>-309</v>
      </c>
      <c r="L48" s="122">
        <f>C23/1000*360-L46</f>
        <v>333.98333333333335</v>
      </c>
      <c r="M48" s="123">
        <f>C23/1000*360-M46</f>
        <v>-576.60000000000002</v>
      </c>
      <c r="N48" s="5"/>
      <c r="O48" s="5"/>
      <c r="P48" s="5"/>
      <c r="Q48" s="5"/>
      <c r="R48" s="5"/>
      <c r="S48" s="5"/>
      <c r="T48" s="5"/>
      <c r="U48" s="5"/>
    </row>
    <row r="49" ht="15.75">
      <c r="A49" s="5"/>
      <c r="B49" s="5"/>
      <c r="C49" s="5"/>
      <c r="D49" s="5"/>
      <c r="E49" s="5"/>
      <c r="F49" s="5"/>
      <c r="G49" s="5"/>
      <c r="H49" s="5"/>
      <c r="I49" s="5"/>
      <c r="J49" s="5"/>
      <c r="K49" s="5"/>
      <c r="L49" s="5"/>
      <c r="M49" s="5"/>
      <c r="N49" s="5"/>
      <c r="O49" s="5"/>
      <c r="P49" s="5"/>
      <c r="Q49" s="5"/>
      <c r="R49" s="5"/>
      <c r="S49" s="5"/>
      <c r="T49" s="5"/>
      <c r="U49" s="5"/>
    </row>
    <row r="50" ht="15.75">
      <c r="A50" s="5"/>
      <c r="B50" s="5"/>
      <c r="C50" s="5"/>
      <c r="D50" s="5"/>
      <c r="E50" s="5"/>
      <c r="F50" s="124" t="s">
        <v>49</v>
      </c>
      <c r="G50" s="125"/>
      <c r="H50" s="125"/>
      <c r="I50" s="125"/>
      <c r="J50" s="125"/>
      <c r="K50" s="125"/>
      <c r="L50" s="126"/>
      <c r="M50" s="5"/>
      <c r="N50" s="5"/>
      <c r="O50" s="5"/>
      <c r="P50" s="5"/>
      <c r="Q50" s="5"/>
      <c r="R50" s="5"/>
      <c r="S50" s="5"/>
      <c r="T50" s="5"/>
      <c r="U50" s="5"/>
    </row>
    <row r="51">
      <c r="A51" s="5"/>
      <c r="B51" s="5"/>
      <c r="C51" s="5"/>
      <c r="D51" s="5"/>
      <c r="E51" s="5"/>
      <c r="F51" s="127" t="s">
        <v>23</v>
      </c>
      <c r="G51" s="128" t="s">
        <v>24</v>
      </c>
      <c r="H51" s="129" t="s">
        <v>50</v>
      </c>
      <c r="I51" s="128" t="s">
        <v>51</v>
      </c>
      <c r="J51" s="129" t="s">
        <v>27</v>
      </c>
      <c r="K51" s="128" t="s">
        <v>28</v>
      </c>
      <c r="L51" s="130" t="s">
        <v>29</v>
      </c>
      <c r="M51" s="5"/>
      <c r="N51" s="5"/>
      <c r="O51" s="5"/>
      <c r="P51" s="5"/>
      <c r="Q51" s="5"/>
      <c r="R51" s="5"/>
      <c r="S51" s="5"/>
      <c r="T51" s="5"/>
      <c r="U51" s="5"/>
    </row>
    <row r="52" ht="15.75">
      <c r="A52" s="5"/>
      <c r="B52" s="5"/>
      <c r="C52" s="5"/>
      <c r="D52" s="5"/>
      <c r="E52" s="5"/>
      <c r="F52" s="131">
        <v>0.014936226388285997</v>
      </c>
      <c r="G52" s="132">
        <v>-0.012027645605903156</v>
      </c>
      <c r="H52" s="133">
        <v>-0.0070174640859273956</v>
      </c>
      <c r="I52" s="132">
        <v>0.010160525260207208</v>
      </c>
      <c r="J52" s="133">
        <v>-0.0060182689173647599</v>
      </c>
      <c r="K52" s="132">
        <v>0.0025018141457936456</v>
      </c>
      <c r="L52" s="134">
        <v>-0.005026234591262428</v>
      </c>
      <c r="M52" s="5"/>
      <c r="N52" s="5"/>
      <c r="O52" s="5"/>
      <c r="P52" s="5"/>
      <c r="Q52" s="5"/>
      <c r="R52" s="5"/>
      <c r="S52" s="5"/>
      <c r="T52" s="5"/>
      <c r="U52" s="5"/>
    </row>
    <row r="53" ht="15.75">
      <c r="A53" s="5"/>
      <c r="B53" s="5"/>
      <c r="C53" s="5"/>
      <c r="D53" s="5"/>
      <c r="E53" s="5"/>
      <c r="F53" s="5"/>
      <c r="G53" s="5"/>
      <c r="H53" s="5"/>
      <c r="I53" s="5"/>
      <c r="J53" s="5"/>
      <c r="K53" s="5"/>
      <c r="L53" s="5"/>
      <c r="M53" s="5"/>
      <c r="N53" s="5"/>
      <c r="O53" s="5"/>
      <c r="P53" s="5"/>
      <c r="Q53" s="5"/>
      <c r="R53" s="5"/>
      <c r="S53" s="5"/>
      <c r="T53" s="5"/>
      <c r="U53" s="5"/>
    </row>
    <row r="54" ht="35.100000000000001" customHeight="1">
      <c r="A54" s="135" t="s">
        <v>52</v>
      </c>
      <c r="B54" s="136" t="s">
        <v>53</v>
      </c>
      <c r="C54" s="137" t="s">
        <v>19</v>
      </c>
      <c r="D54" s="138" t="s">
        <v>22</v>
      </c>
      <c r="E54" s="139" t="s">
        <v>20</v>
      </c>
      <c r="F54" s="139" t="s">
        <v>23</v>
      </c>
      <c r="G54" s="139" t="s">
        <v>24</v>
      </c>
      <c r="H54" s="140" t="s">
        <v>54</v>
      </c>
      <c r="I54" s="140" t="s">
        <v>55</v>
      </c>
      <c r="J54" s="139" t="s">
        <v>27</v>
      </c>
      <c r="K54" s="139" t="s">
        <v>28</v>
      </c>
      <c r="L54" s="137" t="s">
        <v>29</v>
      </c>
      <c r="M54" s="5"/>
      <c r="N54" s="5"/>
      <c r="O54" s="5"/>
      <c r="P54" s="5"/>
      <c r="Q54" s="5"/>
      <c r="R54" s="5"/>
      <c r="S54" s="5"/>
      <c r="T54" s="5"/>
      <c r="U54" s="5"/>
    </row>
    <row r="55">
      <c r="A55" s="141"/>
      <c r="B55" s="142" t="s">
        <v>30</v>
      </c>
      <c r="C55" s="143">
        <f t="shared" ref="C55:C59" si="7">D18</f>
        <v>0.5</v>
      </c>
      <c r="D55" s="144">
        <f>IF(ISBLANK(B55), "", C55*I18)</f>
        <v>4.5</v>
      </c>
      <c r="E55" s="145">
        <f>IF(ISBLANK(C55), "", C55*G18)</f>
        <v>124</v>
      </c>
      <c r="F55" s="145">
        <f>IF(ISBLANK(D55), "", C55*J18)</f>
        <v>3.8730000000000002</v>
      </c>
      <c r="G55" s="145">
        <f>IF(ISBLANK(E55), "", C55*K18)</f>
        <v>7.2309999999999999</v>
      </c>
      <c r="H55" s="145">
        <f>IF(ISBLANK(F55), "", C55*L18)</f>
        <v>6.6630000000000003</v>
      </c>
      <c r="I55" s="145">
        <f>IF(ISBLANK(G55), "", C55*M18)</f>
        <v>4.7800000000000002</v>
      </c>
      <c r="J55" s="145">
        <f>IF(ISBLANK(H55), "", C55*N18)</f>
        <v>4.6950000000000003</v>
      </c>
      <c r="K55" s="145">
        <f>IF(ISBLANK(I55), "", C55*O18)</f>
        <v>5.6020000000000003</v>
      </c>
      <c r="L55" s="146">
        <f>IF(ISBLANK(J55), "", C55*P18)</f>
        <v>5.9400000000000004</v>
      </c>
      <c r="M55" s="5"/>
      <c r="N55" s="5"/>
      <c r="O55" s="5"/>
      <c r="P55" s="5"/>
      <c r="Q55" s="5"/>
      <c r="R55" s="5"/>
      <c r="S55" s="5"/>
      <c r="T55" s="5"/>
      <c r="U55" s="5"/>
    </row>
    <row r="56">
      <c r="A56" s="141"/>
      <c r="B56" s="147" t="s">
        <v>31</v>
      </c>
      <c r="C56" s="58">
        <f t="shared" si="7"/>
        <v>0.5</v>
      </c>
      <c r="D56" s="144">
        <f>IF(ISBLANK(B56),"",C56*I19)</f>
        <v>39</v>
      </c>
      <c r="E56" s="145">
        <f>IF(ISBLANK(C56),"",C56*G19)</f>
        <v>55.5</v>
      </c>
      <c r="F56" s="145">
        <f>IF(ISBLANK(D56),"",C56*J19)</f>
        <v>4.6299999999999999</v>
      </c>
      <c r="G56" s="145">
        <f>IF(ISBLANK(E56),"",C56*K19)</f>
        <v>5.0960000000000001</v>
      </c>
      <c r="H56" s="145">
        <f>IF(ISBLANK(F56),"",C56*L19)</f>
        <v>4.9189999999999996</v>
      </c>
      <c r="I56" s="145">
        <f>IF(ISBLANK(G56),"",C56*M19)</f>
        <v>4.5759999999999996</v>
      </c>
      <c r="J56" s="145">
        <f>IF(ISBLANK(H56),"",C56*N19)</f>
        <v>5.0720000000000001</v>
      </c>
      <c r="K56" s="145">
        <f>IF(ISBLANK(I56),"",C56*O19)</f>
        <v>4.649</v>
      </c>
      <c r="L56" s="146">
        <f>IF(ISBLANK(J56),"",C56*P19)</f>
        <v>5.0970000000000004</v>
      </c>
      <c r="M56" s="5"/>
      <c r="N56" s="5"/>
      <c r="O56" s="5"/>
      <c r="P56" s="5"/>
      <c r="Q56" s="5"/>
      <c r="R56" s="5"/>
      <c r="S56" s="5"/>
      <c r="T56" s="5"/>
      <c r="U56" s="5"/>
    </row>
    <row r="57">
      <c r="A57" s="141"/>
      <c r="B57" s="148"/>
      <c r="C57" s="55">
        <f t="shared" si="7"/>
        <v>0</v>
      </c>
      <c r="D57" s="149"/>
      <c r="E57" s="150"/>
      <c r="F57" s="150"/>
      <c r="G57" s="150"/>
      <c r="H57" s="150"/>
      <c r="I57" s="150"/>
      <c r="J57" s="150"/>
      <c r="K57" s="150"/>
      <c r="L57" s="151"/>
      <c r="M57" s="5"/>
      <c r="N57" s="5"/>
      <c r="O57" s="5"/>
      <c r="P57" s="5"/>
      <c r="Q57" s="5"/>
      <c r="R57" s="5"/>
      <c r="S57" s="5"/>
      <c r="T57" s="5"/>
      <c r="U57" s="5"/>
    </row>
    <row r="58">
      <c r="A58" s="141"/>
      <c r="B58" s="147"/>
      <c r="C58" s="58">
        <f t="shared" si="7"/>
        <v>0</v>
      </c>
      <c r="D58" s="152"/>
      <c r="E58" s="153"/>
      <c r="F58" s="153"/>
      <c r="G58" s="153"/>
      <c r="H58" s="153"/>
      <c r="I58" s="153"/>
      <c r="J58" s="153"/>
      <c r="K58" s="153"/>
      <c r="L58" s="154"/>
      <c r="M58" s="5"/>
      <c r="N58" s="5"/>
      <c r="O58" s="5"/>
      <c r="P58" s="5"/>
      <c r="Q58" s="5"/>
      <c r="R58" s="5"/>
      <c r="S58" s="5"/>
      <c r="T58" s="5"/>
      <c r="U58" s="5"/>
    </row>
    <row r="59" ht="15.75">
      <c r="A59" s="141"/>
      <c r="B59" s="155"/>
      <c r="C59" s="61">
        <f t="shared" si="7"/>
        <v>0</v>
      </c>
      <c r="D59" s="156"/>
      <c r="E59" s="157"/>
      <c r="F59" s="157"/>
      <c r="G59" s="157"/>
      <c r="H59" s="157"/>
      <c r="I59" s="157"/>
      <c r="J59" s="158"/>
      <c r="K59" s="157"/>
      <c r="L59" s="159"/>
      <c r="M59" s="5"/>
      <c r="N59" s="5"/>
      <c r="O59" s="5"/>
      <c r="P59" s="5"/>
      <c r="Q59" s="5"/>
      <c r="R59" s="5"/>
      <c r="S59" s="5"/>
      <c r="T59" s="5"/>
      <c r="U59" s="5"/>
    </row>
    <row r="60" ht="24.949999999999999" customHeight="1">
      <c r="A60" s="141"/>
      <c r="B60" s="136" t="s">
        <v>56</v>
      </c>
      <c r="C60" s="160">
        <f>SUM(C55:C59)</f>
        <v>1</v>
      </c>
      <c r="D60" s="138">
        <f>SUM(D55:D59)</f>
        <v>43.5</v>
      </c>
      <c r="E60" s="139">
        <f t="shared" ref="E60:L60" si="8">SUM(E55:E59)</f>
        <v>179.5</v>
      </c>
      <c r="F60" s="139">
        <f t="shared" si="8"/>
        <v>8.5030000000000001</v>
      </c>
      <c r="G60" s="139">
        <f t="shared" si="8"/>
        <v>12.327</v>
      </c>
      <c r="H60" s="139">
        <f t="shared" si="8"/>
        <v>11.582000000000001</v>
      </c>
      <c r="I60" s="139">
        <f t="shared" si="8"/>
        <v>9.3559999999999999</v>
      </c>
      <c r="J60" s="139">
        <f t="shared" si="8"/>
        <v>9.7669999999999995</v>
      </c>
      <c r="K60" s="139">
        <f t="shared" si="8"/>
        <v>10.251000000000001</v>
      </c>
      <c r="L60" s="137">
        <f t="shared" si="8"/>
        <v>11.037000000000001</v>
      </c>
      <c r="M60" s="5"/>
      <c r="N60" s="5"/>
      <c r="O60" s="5"/>
      <c r="P60" s="5"/>
      <c r="Q60" s="5"/>
      <c r="R60" s="5"/>
      <c r="S60" s="5"/>
      <c r="T60" s="5"/>
      <c r="U60" s="5"/>
    </row>
    <row r="61" ht="24.949999999999999" customHeight="1">
      <c r="A61" s="141"/>
      <c r="B61" s="136" t="s">
        <v>57</v>
      </c>
      <c r="C61" s="160">
        <f>SUM(C55:C59)</f>
        <v>1</v>
      </c>
      <c r="D61" s="138">
        <f>D60</f>
        <v>43.5</v>
      </c>
      <c r="E61" s="139">
        <f>E60</f>
        <v>179.5</v>
      </c>
      <c r="F61" s="139">
        <f>F60*(1+$B14*100*F52)</f>
        <v>9.1380136648979793</v>
      </c>
      <c r="G61" s="139">
        <f>G60*(1+$B14*100*G52)</f>
        <v>11.585676063080159</v>
      </c>
      <c r="H61" s="139">
        <f>H60*(1+$B14*100*H52)</f>
        <v>11.175618654783944</v>
      </c>
      <c r="I61" s="139">
        <f>I60*(1+$B14*100*I52)</f>
        <v>9.8313093716724929</v>
      </c>
      <c r="J61" s="139">
        <f>J60*(1+$B14*100*J52)</f>
        <v>9.4730978374204913</v>
      </c>
      <c r="K61" s="139">
        <f>K60*(1+$B14*100*K52)</f>
        <v>10.379230484042653</v>
      </c>
      <c r="L61" s="137">
        <f>L60*(1+$B14*100*L52)</f>
        <v>10.759627244081184</v>
      </c>
      <c r="M61" s="5"/>
      <c r="N61" s="5"/>
      <c r="O61" s="5"/>
      <c r="P61" s="5"/>
      <c r="Q61" s="5"/>
      <c r="R61" s="5"/>
      <c r="S61" s="5"/>
      <c r="T61" s="5"/>
      <c r="U61" s="5"/>
    </row>
    <row r="62" ht="24.949999999999999" customHeight="1">
      <c r="A62" s="161"/>
      <c r="B62" s="136" t="s">
        <v>58</v>
      </c>
      <c r="C62" s="160">
        <f>SUM(C55:C59)</f>
        <v>1</v>
      </c>
      <c r="D62" s="162"/>
      <c r="E62" s="163"/>
      <c r="F62" s="163"/>
      <c r="G62" s="163"/>
      <c r="H62" s="163"/>
      <c r="I62" s="163"/>
      <c r="J62" s="163"/>
      <c r="K62" s="163"/>
      <c r="L62" s="164"/>
      <c r="M62" s="5"/>
      <c r="N62" s="5"/>
      <c r="O62" s="5"/>
      <c r="P62" s="5"/>
      <c r="Q62" s="5"/>
      <c r="R62" s="5"/>
      <c r="S62" s="5"/>
      <c r="T62" s="5"/>
      <c r="U62" s="5"/>
    </row>
    <row r="63">
      <c r="A63" s="5"/>
      <c r="B63" s="5"/>
      <c r="C63" s="5"/>
      <c r="D63" s="5"/>
      <c r="E63" s="5"/>
      <c r="F63" s="5"/>
      <c r="G63" s="5"/>
      <c r="H63" s="5"/>
      <c r="I63" s="5"/>
      <c r="J63" s="5"/>
      <c r="K63" s="5"/>
      <c r="L63" s="5"/>
      <c r="M63" s="5"/>
      <c r="N63" s="5"/>
      <c r="O63" s="5"/>
      <c r="P63" s="5"/>
      <c r="Q63" s="5"/>
      <c r="R63" s="5"/>
      <c r="S63" s="5"/>
      <c r="T63" s="5"/>
      <c r="U63" s="5"/>
    </row>
    <row r="64">
      <c r="A64" s="5"/>
      <c r="B64" s="5"/>
      <c r="C64" s="5"/>
      <c r="D64" s="5"/>
      <c r="E64" s="5"/>
      <c r="F64" s="5"/>
      <c r="G64" s="5"/>
      <c r="H64" s="5"/>
      <c r="I64" s="5"/>
      <c r="J64" s="5"/>
      <c r="K64" s="5"/>
      <c r="L64" s="5"/>
      <c r="M64" s="5"/>
      <c r="N64" s="5"/>
      <c r="O64" s="5"/>
      <c r="P64" s="5"/>
      <c r="Q64" s="5"/>
      <c r="R64" s="5"/>
      <c r="S64" s="5"/>
      <c r="T64" s="5"/>
      <c r="U64" s="5"/>
    </row>
    <row r="65">
      <c r="A65" s="5"/>
      <c r="B65" s="5"/>
      <c r="C65" s="5"/>
      <c r="D65" s="5"/>
      <c r="E65" s="5"/>
      <c r="F65" s="5"/>
      <c r="G65" s="5"/>
      <c r="H65" s="5"/>
      <c r="I65" s="5"/>
      <c r="J65" s="5"/>
      <c r="K65" s="5"/>
      <c r="L65" s="5"/>
      <c r="M65" s="5"/>
      <c r="N65" s="5"/>
      <c r="O65" s="5"/>
      <c r="P65" s="5"/>
      <c r="Q65" s="5"/>
      <c r="R65" s="5"/>
      <c r="S65" s="5"/>
      <c r="T65" s="5"/>
      <c r="U65" s="5"/>
    </row>
    <row r="66">
      <c r="A66" s="5"/>
      <c r="B66" s="5"/>
      <c r="C66" s="5"/>
      <c r="D66" s="5"/>
      <c r="E66" s="5"/>
      <c r="F66" s="5"/>
      <c r="G66" s="5"/>
      <c r="H66" s="5"/>
      <c r="I66" s="5"/>
      <c r="J66" s="5"/>
      <c r="K66" s="5"/>
      <c r="L66" s="5"/>
      <c r="M66" s="5"/>
      <c r="N66" s="5"/>
      <c r="O66" s="5"/>
      <c r="P66" s="5"/>
      <c r="Q66" s="5"/>
      <c r="R66" s="5"/>
      <c r="S66" s="5"/>
      <c r="T66" s="5"/>
      <c r="U66" s="5"/>
    </row>
    <row r="67">
      <c r="A67" s="5"/>
      <c r="B67" s="5"/>
      <c r="C67" s="5"/>
      <c r="D67" s="5"/>
      <c r="E67" s="5"/>
      <c r="F67" s="5"/>
      <c r="G67" s="5"/>
      <c r="H67" s="5"/>
      <c r="I67" s="5"/>
      <c r="J67" s="5"/>
      <c r="K67" s="5"/>
      <c r="L67" s="5"/>
      <c r="M67" s="5"/>
      <c r="N67" s="5"/>
      <c r="O67" s="5"/>
      <c r="P67" s="5"/>
      <c r="Q67" s="5"/>
      <c r="R67" s="5"/>
      <c r="S67" s="5"/>
      <c r="T67" s="5"/>
      <c r="U67" s="5"/>
    </row>
    <row r="68">
      <c r="A68" s="5"/>
      <c r="B68" s="5"/>
      <c r="C68" s="5"/>
      <c r="D68" s="5"/>
      <c r="E68" s="5"/>
      <c r="F68" s="5"/>
      <c r="G68" s="5"/>
      <c r="H68" s="5"/>
      <c r="I68" s="5"/>
      <c r="J68" s="5"/>
      <c r="K68" s="5"/>
      <c r="L68" s="5"/>
      <c r="M68" s="5"/>
      <c r="N68" s="5"/>
      <c r="O68" s="5"/>
      <c r="P68" s="5"/>
      <c r="Q68" s="5"/>
      <c r="R68" s="5"/>
      <c r="S68" s="5"/>
      <c r="T68" s="5"/>
      <c r="U68" s="5"/>
    </row>
    <row r="69">
      <c r="A69" s="5"/>
      <c r="B69" s="5"/>
      <c r="C69" s="5"/>
      <c r="D69" s="5"/>
      <c r="E69" s="5"/>
      <c r="F69" s="5"/>
      <c r="G69" s="5"/>
      <c r="H69" s="5"/>
      <c r="I69" s="5"/>
      <c r="J69" s="5"/>
      <c r="K69" s="5"/>
      <c r="L69" s="5"/>
      <c r="M69" s="5"/>
      <c r="N69" s="5"/>
      <c r="O69" s="5"/>
      <c r="P69" s="5"/>
      <c r="Q69" s="5"/>
      <c r="R69" s="5"/>
      <c r="S69" s="5"/>
      <c r="T69" s="5"/>
      <c r="U69" s="5"/>
    </row>
    <row r="70">
      <c r="A70" s="5"/>
      <c r="B70" s="5"/>
      <c r="C70" s="5"/>
      <c r="D70" s="5"/>
      <c r="E70" s="5"/>
      <c r="F70" s="5"/>
      <c r="G70" s="5"/>
      <c r="H70" s="5"/>
      <c r="I70" s="5"/>
      <c r="J70" s="5"/>
      <c r="K70" s="5"/>
      <c r="L70" s="5"/>
      <c r="M70" s="5"/>
      <c r="N70" s="5"/>
      <c r="O70" s="5"/>
      <c r="P70" s="5"/>
      <c r="Q70" s="5"/>
      <c r="R70" s="5"/>
      <c r="S70" s="5"/>
      <c r="T70" s="5"/>
      <c r="U70" s="5"/>
    </row>
    <row r="71">
      <c r="A71" s="5"/>
      <c r="B71" s="5"/>
      <c r="C71" s="5"/>
      <c r="D71" s="5"/>
      <c r="E71" s="5"/>
      <c r="F71" s="5"/>
      <c r="G71" s="5"/>
      <c r="H71" s="5"/>
      <c r="I71" s="5"/>
      <c r="J71" s="5"/>
      <c r="K71" s="5"/>
      <c r="L71" s="5"/>
      <c r="M71" s="5"/>
      <c r="N71" s="5"/>
      <c r="O71" s="5"/>
      <c r="P71" s="5"/>
      <c r="Q71" s="5"/>
      <c r="R71" s="5"/>
      <c r="S71" s="5"/>
      <c r="T71" s="5"/>
      <c r="U71" s="5"/>
    </row>
    <row r="72">
      <c r="A72" s="5"/>
      <c r="B72" s="5"/>
      <c r="C72" s="5"/>
      <c r="D72" s="5"/>
      <c r="E72" s="5"/>
      <c r="F72" s="5"/>
      <c r="G72" s="5"/>
      <c r="H72" s="5"/>
      <c r="I72" s="5"/>
      <c r="J72" s="5"/>
      <c r="K72" s="5"/>
      <c r="L72" s="5"/>
      <c r="M72" s="5"/>
      <c r="N72" s="5"/>
      <c r="O72" s="5"/>
      <c r="P72" s="5"/>
      <c r="Q72" s="5"/>
      <c r="R72" s="5"/>
      <c r="S72" s="5"/>
      <c r="T72" s="5"/>
      <c r="U72" s="5"/>
    </row>
    <row r="73">
      <c r="A73" s="5"/>
      <c r="B73" s="5"/>
      <c r="C73" s="5"/>
      <c r="D73" s="5"/>
      <c r="E73" s="5"/>
      <c r="F73" s="5"/>
      <c r="G73" s="5"/>
      <c r="H73" s="5"/>
      <c r="I73" s="5"/>
      <c r="J73" s="5"/>
      <c r="K73" s="5"/>
      <c r="L73" s="5"/>
      <c r="M73" s="5"/>
      <c r="N73" s="5"/>
      <c r="O73" s="5"/>
      <c r="P73" s="5"/>
      <c r="Q73" s="5"/>
      <c r="R73" s="5"/>
      <c r="S73" s="5"/>
      <c r="T73" s="5"/>
      <c r="U73" s="5"/>
    </row>
    <row r="74">
      <c r="A74" s="5"/>
      <c r="B74" s="5"/>
      <c r="C74" s="5"/>
      <c r="D74" s="5"/>
      <c r="E74" s="5"/>
      <c r="F74" s="5"/>
      <c r="G74" s="5"/>
      <c r="H74" s="5"/>
      <c r="I74" s="5"/>
      <c r="J74" s="5"/>
      <c r="K74" s="5"/>
      <c r="L74" s="5"/>
      <c r="M74" s="5"/>
      <c r="N74" s="5"/>
      <c r="O74" s="5"/>
      <c r="P74" s="5"/>
      <c r="Q74" s="5"/>
      <c r="R74" s="5"/>
      <c r="S74" s="5"/>
      <c r="T74" s="5"/>
      <c r="U74" s="5"/>
    </row>
    <row r="75">
      <c r="A75" s="5"/>
      <c r="B75" s="5"/>
      <c r="C75" s="5"/>
      <c r="D75" s="5"/>
      <c r="E75" s="5"/>
      <c r="F75" s="5"/>
      <c r="G75" s="5"/>
      <c r="H75" s="5"/>
      <c r="I75" s="5"/>
      <c r="J75" s="5"/>
      <c r="K75" s="5"/>
      <c r="L75" s="5"/>
      <c r="M75" s="5"/>
      <c r="N75" s="5"/>
      <c r="O75" s="5"/>
      <c r="P75" s="5"/>
      <c r="Q75" s="5"/>
      <c r="R75" s="5"/>
      <c r="S75" s="5"/>
      <c r="T75" s="5"/>
      <c r="U75" s="5"/>
    </row>
    <row r="76">
      <c r="A76" s="5"/>
      <c r="B76" s="5"/>
      <c r="C76" s="5"/>
      <c r="D76" s="5"/>
      <c r="E76" s="5"/>
      <c r="F76" s="5"/>
      <c r="G76" s="5"/>
      <c r="H76" s="5"/>
      <c r="I76" s="5"/>
      <c r="J76" s="5"/>
      <c r="K76" s="5"/>
      <c r="L76" s="5"/>
      <c r="M76" s="5"/>
      <c r="N76" s="5"/>
      <c r="O76" s="5"/>
      <c r="P76" s="5"/>
      <c r="Q76" s="5"/>
      <c r="R76" s="5"/>
      <c r="S76" s="5"/>
      <c r="T76" s="5"/>
      <c r="U76" s="5"/>
    </row>
    <row r="77">
      <c r="A77" s="5"/>
      <c r="B77" s="5"/>
      <c r="C77" s="5"/>
      <c r="D77" s="5"/>
      <c r="E77" s="5"/>
      <c r="F77" s="5"/>
      <c r="G77" s="5"/>
      <c r="H77" s="5"/>
      <c r="I77" s="5"/>
      <c r="J77" s="5"/>
      <c r="K77" s="5"/>
      <c r="L77" s="5"/>
      <c r="M77" s="5"/>
      <c r="N77" s="5"/>
      <c r="O77" s="5"/>
      <c r="P77" s="5"/>
      <c r="Q77" s="5"/>
      <c r="R77" s="5"/>
      <c r="S77" s="5"/>
      <c r="T77" s="5"/>
      <c r="U77" s="5"/>
    </row>
    <row r="78">
      <c r="A78" s="5"/>
      <c r="B78" s="5"/>
      <c r="C78" s="5"/>
      <c r="D78" s="5"/>
      <c r="E78" s="5"/>
      <c r="F78" s="5"/>
      <c r="G78" s="5"/>
      <c r="H78" s="5"/>
      <c r="I78" s="5"/>
      <c r="J78" s="5"/>
      <c r="K78" s="5"/>
      <c r="L78" s="5"/>
      <c r="M78" s="5"/>
      <c r="N78" s="5"/>
      <c r="O78" s="5"/>
      <c r="P78" s="5"/>
      <c r="Q78" s="5"/>
      <c r="R78" s="5"/>
      <c r="S78" s="5"/>
      <c r="T78" s="5"/>
      <c r="U78" s="5"/>
    </row>
    <row r="79">
      <c r="A79" s="5"/>
      <c r="B79" s="5"/>
      <c r="C79" s="5"/>
      <c r="D79" s="5"/>
      <c r="E79" s="5"/>
      <c r="F79" s="5"/>
      <c r="G79" s="5"/>
      <c r="H79" s="5"/>
      <c r="I79" s="5"/>
      <c r="J79" s="5"/>
      <c r="K79" s="5"/>
      <c r="L79" s="5"/>
      <c r="M79" s="5"/>
      <c r="N79" s="5"/>
      <c r="O79" s="5"/>
      <c r="P79" s="5"/>
      <c r="Q79" s="5"/>
      <c r="R79" s="5"/>
      <c r="S79" s="5"/>
      <c r="T79" s="5"/>
      <c r="U79" s="5"/>
    </row>
    <row r="80">
      <c r="A80" s="5"/>
      <c r="B80" s="5"/>
      <c r="C80" s="5"/>
      <c r="D80" s="5"/>
      <c r="E80" s="5"/>
      <c r="F80" s="5"/>
      <c r="G80" s="5"/>
      <c r="H80" s="5"/>
      <c r="I80" s="5"/>
      <c r="J80" s="5"/>
      <c r="K80" s="5"/>
      <c r="L80" s="5"/>
      <c r="M80" s="5"/>
      <c r="N80" s="5"/>
      <c r="O80" s="5"/>
      <c r="P80" s="5"/>
      <c r="Q80" s="5"/>
      <c r="R80" s="5"/>
      <c r="S80" s="5"/>
      <c r="T80" s="5"/>
      <c r="U80" s="5"/>
    </row>
    <row r="81">
      <c r="A81" s="5"/>
      <c r="B81" s="5"/>
      <c r="C81" s="5"/>
      <c r="D81" s="5"/>
      <c r="E81" s="5"/>
      <c r="F81" s="5"/>
      <c r="G81" s="5"/>
      <c r="H81" s="5"/>
      <c r="I81" s="5"/>
      <c r="J81" s="5"/>
      <c r="K81" s="5"/>
      <c r="L81" s="5"/>
      <c r="M81" s="5"/>
      <c r="N81" s="5"/>
      <c r="O81" s="5"/>
      <c r="P81" s="5"/>
      <c r="Q81" s="5"/>
      <c r="R81" s="5"/>
      <c r="S81" s="5"/>
      <c r="T81" s="5"/>
      <c r="U81" s="5"/>
    </row>
    <row r="82">
      <c r="A82" s="5"/>
      <c r="B82" s="5"/>
      <c r="C82" s="5"/>
      <c r="D82" s="5"/>
      <c r="E82" s="5"/>
      <c r="F82" s="5"/>
      <c r="G82" s="5"/>
      <c r="H82" s="5"/>
      <c r="I82" s="5"/>
      <c r="J82" s="5"/>
      <c r="K82" s="5"/>
      <c r="L82" s="5"/>
      <c r="M82" s="5"/>
      <c r="N82" s="5"/>
      <c r="O82" s="5"/>
      <c r="P82" s="5"/>
      <c r="Q82" s="5"/>
      <c r="R82" s="5"/>
      <c r="S82" s="5"/>
      <c r="T82" s="5"/>
      <c r="U82" s="5"/>
    </row>
    <row r="83">
      <c r="A83" s="5"/>
      <c r="B83" s="5"/>
      <c r="C83" s="5"/>
      <c r="D83" s="5"/>
      <c r="E83" s="5"/>
      <c r="F83" s="5"/>
      <c r="G83" s="5"/>
      <c r="H83" s="5"/>
      <c r="I83" s="5"/>
      <c r="J83" s="5"/>
      <c r="K83" s="5"/>
      <c r="L83" s="5"/>
      <c r="M83" s="5"/>
      <c r="N83" s="5"/>
      <c r="O83" s="5"/>
      <c r="P83" s="5"/>
      <c r="Q83" s="5"/>
      <c r="R83" s="5"/>
      <c r="S83" s="5"/>
      <c r="T83" s="5"/>
      <c r="U83" s="5"/>
    </row>
    <row r="84">
      <c r="A84" s="5"/>
      <c r="B84" s="5"/>
      <c r="C84" s="5"/>
      <c r="D84" s="5"/>
      <c r="E84" s="5"/>
      <c r="F84" s="5"/>
      <c r="G84" s="5"/>
      <c r="H84" s="5"/>
      <c r="I84" s="5"/>
      <c r="J84" s="5"/>
      <c r="K84" s="5"/>
      <c r="L84" s="5"/>
      <c r="M84" s="5"/>
      <c r="N84" s="5"/>
      <c r="O84" s="5"/>
      <c r="P84" s="5"/>
      <c r="Q84" s="5"/>
      <c r="R84" s="5"/>
      <c r="S84" s="5"/>
      <c r="T84" s="5"/>
      <c r="U84" s="5"/>
    </row>
    <row r="90" ht="14.25">
      <c r="A90" s="1"/>
    </row>
  </sheetData>
  <mergeCells count="31">
    <mergeCell ref="A1:P1"/>
    <mergeCell ref="F4:G4"/>
    <mergeCell ref="A5:A8"/>
    <mergeCell ref="A11:A14"/>
    <mergeCell ref="A16:A23"/>
    <mergeCell ref="F16:P16"/>
    <mergeCell ref="F26:M26"/>
    <mergeCell ref="F27:I27"/>
    <mergeCell ref="F28:I28"/>
    <mergeCell ref="F29:I29"/>
    <mergeCell ref="F30:I30"/>
    <mergeCell ref="F31:I31"/>
    <mergeCell ref="F32:I32"/>
    <mergeCell ref="F33:I33"/>
    <mergeCell ref="F34:I34"/>
    <mergeCell ref="F35:I35"/>
    <mergeCell ref="J38:M38"/>
    <mergeCell ref="E40:E42"/>
    <mergeCell ref="F40:I40"/>
    <mergeCell ref="F41:I41"/>
    <mergeCell ref="F42:I42"/>
    <mergeCell ref="E43:E45"/>
    <mergeCell ref="F43:I43"/>
    <mergeCell ref="F44:I44"/>
    <mergeCell ref="F45:I45"/>
    <mergeCell ref="E46:E48"/>
    <mergeCell ref="F46:I46"/>
    <mergeCell ref="F47:I47"/>
    <mergeCell ref="F48:I48"/>
    <mergeCell ref="F50:L50"/>
    <mergeCell ref="A54:A62"/>
  </mergeCells>
  <dataValidations count="3" disablePrompts="1">
    <dataValidation sqref="B18:B22" type="list" allowBlank="1" errorStyle="stop" imeMode="noControl" operator="between" prompt="Veuillez choisir un corps gras dans la liste" promptTitle="Choix du corps gras" showDropDown="0" showErrorMessage="1" showInputMessage="1">
      <formula1>table_corps_gras!$B$35:$B$155</formula1>
    </dataValidation>
    <dataValidation sqref="B6" type="list" allowBlank="1" errorStyle="stop" imeMode="noControl" operator="between" prompt="Veuillez choisir un agent alcalin." promptTitle="Choix de l'alcalin" showDropDown="0" showErrorMessage="1" showInputMessage="1">
      <formula1>table_alcalins!$B$2:$B$5</formula1>
    </dataValidation>
    <dataValidation sqref="B12" type="list" allowBlank="1" errorStyle="stop" imeMode="noControl" operator="between" showDropDown="0" showErrorMessage="1" showInputMessage="1">
      <formula1>divers!$B$3:$B$5</formula1>
    </dataValidation>
  </dataValidation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0" copies="1"/>
  <headerFooter/>
  <drawing r:id="rId1"/>
  <extLst>
    <ext xmlns:x14="http://schemas.microsoft.com/office/spreadsheetml/2009/9/main" uri="{CCE6A557-97BC-4b89-ADB6-D9C93CAAB3DF}">
      <x14:dataValidations xmlns:xm="http://schemas.microsoft.com/office/excel/2006/main" count="1" disablePrompts="1">
        <x14:dataValidation xr:uid="{00F20056-0083-49CF-BFBE-001C0060000E}" type="decimal" allowBlank="1" errorStyle="stop" imeMode="noControl" operator="between" showDropDown="0" showErrorMessage="1" showInputMessage="1">
          <x14:formula1>
            <xm:f>0</xm:f>
          </x14:formula1>
          <x14:formula2>
            <xm:f>1</xm:f>
          </x14:formula2>
          <xm:sqref>B8 B14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B10" activeCellId="0" sqref="B10"/>
    </sheetView>
  </sheetViews>
  <sheetFormatPr baseColWidth="10" defaultRowHeight="15"/>
  <cols>
    <col customWidth="1" min="2" max="2" width="30.7109375"/>
  </cols>
  <sheetData>
    <row r="2">
      <c r="B2" t="s">
        <v>59</v>
      </c>
    </row>
    <row r="3">
      <c r="B3" t="s">
        <v>60</v>
      </c>
    </row>
    <row r="4">
      <c r="B4" t="s">
        <v>43</v>
      </c>
    </row>
    <row r="5">
      <c r="B5" t="s">
        <v>10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20" activeCellId="0" sqref="C20"/>
    </sheetView>
  </sheetViews>
  <sheetFormatPr baseColWidth="10" defaultColWidth="11.42578125" defaultRowHeight="15"/>
  <cols>
    <col min="1" max="1" style="1" width="11.42578125"/>
    <col customWidth="1" min="2" max="2" style="1" width="35.7109375"/>
    <col min="3" max="16384" style="1" width="11.42578125"/>
  </cols>
  <sheetData>
    <row r="1">
      <c r="A1" s="165" t="s">
        <v>61</v>
      </c>
      <c r="B1" s="165" t="s">
        <v>62</v>
      </c>
      <c r="C1" s="165" t="s">
        <v>63</v>
      </c>
    </row>
    <row r="2">
      <c r="A2" s="166">
        <v>1</v>
      </c>
      <c r="B2" s="166" t="s">
        <v>6</v>
      </c>
      <c r="C2" s="167">
        <v>0</v>
      </c>
    </row>
    <row r="3">
      <c r="A3" s="166">
        <v>2</v>
      </c>
      <c r="B3" s="166" t="s">
        <v>64</v>
      </c>
      <c r="C3" s="167">
        <v>0</v>
      </c>
    </row>
    <row r="4">
      <c r="A4" s="166">
        <v>3</v>
      </c>
      <c r="B4" s="166" t="s">
        <v>65</v>
      </c>
      <c r="C4" s="167">
        <v>0.10000000000000001</v>
      </c>
    </row>
    <row r="5">
      <c r="A5" s="166">
        <v>4</v>
      </c>
      <c r="B5" s="166" t="s">
        <v>66</v>
      </c>
      <c r="C5" s="167">
        <v>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1" topLeftCell="C2" activePane="bottomRight" state="frozen"/>
      <selection activeCell="W108" activeCellId="0" sqref="W108"/>
    </sheetView>
  </sheetViews>
  <sheetFormatPr baseColWidth="10" defaultColWidth="11.42578125" defaultRowHeight="15"/>
  <cols>
    <col customWidth="1" min="1" max="1" style="1" width="13"/>
    <col customWidth="1" min="2" max="2" style="1" width="35.7109375"/>
    <col customWidth="1" hidden="1" min="3" max="3" style="1" width="9.85546875"/>
    <col customWidth="1" min="4" max="4" style="1" width="9"/>
    <col customWidth="1" min="5" max="5" style="1" width="8.7109375"/>
    <col customWidth="1" hidden="1" min="6" max="6" style="1" width="11.140625"/>
    <col customWidth="1" min="7" max="7" style="1" width="8.85546875"/>
    <col customWidth="1" hidden="1" min="8" max="8" style="1" width="10.28515625"/>
    <col customWidth="1" hidden="1" min="9" max="9" style="1" width="9"/>
    <col customWidth="1" min="10" max="11" style="1" width="8.7109375"/>
    <col customWidth="1" min="12" max="12" style="1" width="20.7109375"/>
    <col customWidth="1" min="13" max="13" style="1" width="25.7109375"/>
    <col customWidth="1" hidden="1" min="14" max="14" style="1" width="11.5703125"/>
    <col customWidth="1" hidden="1" min="15" max="15" style="1" width="13.140625"/>
    <col customWidth="1" hidden="1" min="16" max="16" style="1" width="13.85546875"/>
    <col customWidth="1" hidden="1" min="17" max="17" style="1" width="13"/>
    <col customWidth="1" hidden="1" min="18" max="18" style="1" width="13.7109375"/>
    <col customWidth="1" hidden="1" min="19" max="19" style="1" width="10.85546875"/>
    <col customWidth="1" hidden="1" min="20" max="20" style="1" width="12.85546875"/>
    <col customWidth="1" hidden="1" min="21" max="21" style="1" width="13.140625"/>
    <col customWidth="1" min="22" max="22" style="1" width="10.7109375"/>
    <col customWidth="1" min="23" max="23" style="1" width="12.140625"/>
    <col customWidth="1" min="24" max="24" style="1" width="13.85546875"/>
    <col customWidth="1" min="25" max="26" style="1" width="10.7109375"/>
    <col min="27" max="16384" style="1" width="11.42578125"/>
  </cols>
  <sheetData>
    <row r="1" ht="24.949999999999999" customHeight="1">
      <c r="A1" s="168" t="s">
        <v>67</v>
      </c>
      <c r="B1" s="168" t="s">
        <v>68</v>
      </c>
      <c r="C1" s="168" t="s">
        <v>69</v>
      </c>
      <c r="D1" s="168" t="s">
        <v>70</v>
      </c>
      <c r="E1" s="168" t="s">
        <v>71</v>
      </c>
      <c r="F1" s="168" t="s">
        <v>72</v>
      </c>
      <c r="G1" s="168" t="s">
        <v>73</v>
      </c>
      <c r="H1" s="168" t="s">
        <v>74</v>
      </c>
      <c r="I1" s="168" t="s">
        <v>75</v>
      </c>
      <c r="J1" s="168" t="s">
        <v>76</v>
      </c>
      <c r="K1" s="168" t="s">
        <v>77</v>
      </c>
      <c r="L1" s="168" t="s">
        <v>78</v>
      </c>
      <c r="M1" s="168" t="s">
        <v>79</v>
      </c>
      <c r="N1" s="169" t="s">
        <v>80</v>
      </c>
      <c r="O1" s="169" t="s">
        <v>81</v>
      </c>
      <c r="P1" s="169" t="s">
        <v>82</v>
      </c>
      <c r="Q1" s="169" t="s">
        <v>83</v>
      </c>
      <c r="R1" s="169" t="s">
        <v>84</v>
      </c>
      <c r="S1" s="169" t="s">
        <v>85</v>
      </c>
      <c r="T1" s="169" t="s">
        <v>86</v>
      </c>
      <c r="U1" s="170" t="s">
        <v>87</v>
      </c>
      <c r="V1" s="171" t="s">
        <v>88</v>
      </c>
      <c r="W1" s="171" t="s">
        <v>89</v>
      </c>
      <c r="X1" s="171" t="s">
        <v>90</v>
      </c>
      <c r="Y1" s="171" t="s">
        <v>91</v>
      </c>
      <c r="Z1" s="171" t="s">
        <v>92</v>
      </c>
    </row>
    <row r="2">
      <c r="A2" s="172">
        <v>154</v>
      </c>
      <c r="B2" s="173" t="s">
        <v>93</v>
      </c>
      <c r="C2" s="172" t="s">
        <v>94</v>
      </c>
      <c r="D2" s="172" t="s">
        <v>95</v>
      </c>
      <c r="E2" s="172" t="s">
        <v>96</v>
      </c>
      <c r="F2" s="172" t="s">
        <v>97</v>
      </c>
      <c r="G2" s="172" t="s">
        <v>98</v>
      </c>
      <c r="H2" s="172" t="s">
        <v>97</v>
      </c>
      <c r="I2" s="172" t="s">
        <v>96</v>
      </c>
      <c r="J2" s="172" t="s">
        <v>99</v>
      </c>
      <c r="K2" s="172" t="s">
        <v>100</v>
      </c>
      <c r="L2" s="174" t="s">
        <v>101</v>
      </c>
      <c r="M2" s="174" t="s">
        <v>102</v>
      </c>
      <c r="N2" s="172" t="s">
        <v>97</v>
      </c>
      <c r="O2" s="172" t="s">
        <v>97</v>
      </c>
      <c r="P2" s="172" t="s">
        <v>96</v>
      </c>
      <c r="Q2" s="172" t="s">
        <v>97</v>
      </c>
      <c r="R2" s="172" t="s">
        <v>97</v>
      </c>
      <c r="S2" s="172" t="s">
        <v>103</v>
      </c>
      <c r="T2" s="172" t="s">
        <v>104</v>
      </c>
      <c r="U2" s="175" t="s">
        <v>97</v>
      </c>
      <c r="V2" s="166"/>
      <c r="W2" s="166"/>
      <c r="X2" s="166"/>
      <c r="Y2" s="166"/>
      <c r="Z2" s="166"/>
    </row>
    <row r="3">
      <c r="A3" s="176">
        <v>153</v>
      </c>
      <c r="B3" s="177" t="s">
        <v>105</v>
      </c>
      <c r="C3" s="176" t="s">
        <v>106</v>
      </c>
      <c r="D3" s="176" t="s">
        <v>107</v>
      </c>
      <c r="E3" s="176" t="s">
        <v>96</v>
      </c>
      <c r="F3" s="176" t="s">
        <v>97</v>
      </c>
      <c r="G3" s="176" t="s">
        <v>108</v>
      </c>
      <c r="H3" s="176" t="s">
        <v>97</v>
      </c>
      <c r="I3" s="176" t="s">
        <v>109</v>
      </c>
      <c r="J3" s="176" t="s">
        <v>110</v>
      </c>
      <c r="K3" s="176" t="s">
        <v>111</v>
      </c>
      <c r="L3" s="178" t="s">
        <v>112</v>
      </c>
      <c r="M3" s="178" t="s">
        <v>113</v>
      </c>
      <c r="N3" s="176" t="s">
        <v>97</v>
      </c>
      <c r="O3" s="176" t="s">
        <v>97</v>
      </c>
      <c r="P3" s="176" t="s">
        <v>114</v>
      </c>
      <c r="Q3" s="176" t="s">
        <v>115</v>
      </c>
      <c r="R3" s="176" t="s">
        <v>97</v>
      </c>
      <c r="S3" s="176" t="s">
        <v>116</v>
      </c>
      <c r="T3" s="176" t="s">
        <v>117</v>
      </c>
      <c r="U3" s="179" t="s">
        <v>118</v>
      </c>
      <c r="V3" s="166"/>
      <c r="W3" s="166"/>
      <c r="X3" s="166"/>
      <c r="Y3" s="166"/>
      <c r="Z3" s="166"/>
    </row>
    <row r="4">
      <c r="A4" s="172">
        <v>138</v>
      </c>
      <c r="B4" s="173" t="s">
        <v>119</v>
      </c>
      <c r="C4" s="172" t="s">
        <v>120</v>
      </c>
      <c r="D4" s="172" t="s">
        <v>121</v>
      </c>
      <c r="E4" s="172" t="s">
        <v>104</v>
      </c>
      <c r="F4" s="172" t="s">
        <v>97</v>
      </c>
      <c r="G4" s="172" t="s">
        <v>122</v>
      </c>
      <c r="H4" s="172" t="s">
        <v>97</v>
      </c>
      <c r="I4" s="172" t="s">
        <v>104</v>
      </c>
      <c r="J4" s="172" t="s">
        <v>123</v>
      </c>
      <c r="K4" s="172" t="s">
        <v>124</v>
      </c>
      <c r="L4" s="174" t="s">
        <v>125</v>
      </c>
      <c r="M4" s="174" t="s">
        <v>126</v>
      </c>
      <c r="N4" s="172" t="s">
        <v>97</v>
      </c>
      <c r="O4" s="172" t="s">
        <v>97</v>
      </c>
      <c r="P4" s="172" t="s">
        <v>127</v>
      </c>
      <c r="Q4" s="172" t="s">
        <v>115</v>
      </c>
      <c r="R4" s="172" t="s">
        <v>97</v>
      </c>
      <c r="S4" s="172" t="s">
        <v>128</v>
      </c>
      <c r="T4" s="172" t="s">
        <v>129</v>
      </c>
      <c r="U4" s="175" t="s">
        <v>97</v>
      </c>
      <c r="V4" s="166"/>
      <c r="W4" s="166"/>
      <c r="X4" s="166"/>
      <c r="Y4" s="166"/>
      <c r="Z4" s="166"/>
    </row>
    <row r="5">
      <c r="A5" s="176">
        <v>152</v>
      </c>
      <c r="B5" s="177" t="s">
        <v>130</v>
      </c>
      <c r="C5" s="176" t="s">
        <v>131</v>
      </c>
      <c r="D5" s="176" t="s">
        <v>132</v>
      </c>
      <c r="E5" s="176" t="s">
        <v>110</v>
      </c>
      <c r="F5" s="176" t="s">
        <v>97</v>
      </c>
      <c r="G5" s="176" t="s">
        <v>97</v>
      </c>
      <c r="H5" s="176" t="s">
        <v>97</v>
      </c>
      <c r="I5" s="176" t="s">
        <v>110</v>
      </c>
      <c r="J5" s="176" t="s">
        <v>115</v>
      </c>
      <c r="K5" s="176" t="s">
        <v>133</v>
      </c>
      <c r="L5" s="178" t="s">
        <v>134</v>
      </c>
      <c r="M5" s="178" t="s">
        <v>135</v>
      </c>
      <c r="N5" s="176" t="s">
        <v>97</v>
      </c>
      <c r="O5" s="176" t="s">
        <v>97</v>
      </c>
      <c r="P5" s="176" t="s">
        <v>110</v>
      </c>
      <c r="Q5" s="176" t="s">
        <v>97</v>
      </c>
      <c r="R5" s="176" t="s">
        <v>97</v>
      </c>
      <c r="S5" s="176" t="s">
        <v>97</v>
      </c>
      <c r="T5" s="176" t="s">
        <v>97</v>
      </c>
      <c r="U5" s="179" t="s">
        <v>97</v>
      </c>
      <c r="V5" s="166"/>
      <c r="W5" s="166"/>
      <c r="X5" s="166"/>
      <c r="Y5" s="166"/>
      <c r="Z5" s="166"/>
    </row>
    <row r="6">
      <c r="A6" s="172">
        <v>151</v>
      </c>
      <c r="B6" s="173" t="s">
        <v>136</v>
      </c>
      <c r="C6" s="172" t="s">
        <v>137</v>
      </c>
      <c r="D6" s="172" t="s">
        <v>138</v>
      </c>
      <c r="E6" s="172" t="s">
        <v>99</v>
      </c>
      <c r="F6" s="172" t="s">
        <v>99</v>
      </c>
      <c r="G6" s="172" t="s">
        <v>97</v>
      </c>
      <c r="H6" s="172" t="s">
        <v>99</v>
      </c>
      <c r="I6" s="172" t="s">
        <v>97</v>
      </c>
      <c r="J6" s="172" t="s">
        <v>97</v>
      </c>
      <c r="K6" s="172" t="s">
        <v>138</v>
      </c>
      <c r="L6" s="174" t="s">
        <v>134</v>
      </c>
      <c r="M6" s="174" t="s">
        <v>135</v>
      </c>
      <c r="N6" s="172" t="s">
        <v>139</v>
      </c>
      <c r="O6" s="172" t="s">
        <v>140</v>
      </c>
      <c r="P6" s="172" t="s">
        <v>97</v>
      </c>
      <c r="Q6" s="172" t="s">
        <v>97</v>
      </c>
      <c r="R6" s="172" t="s">
        <v>97</v>
      </c>
      <c r="S6" s="172" t="s">
        <v>97</v>
      </c>
      <c r="T6" s="172" t="s">
        <v>97</v>
      </c>
      <c r="U6" s="175" t="s">
        <v>97</v>
      </c>
      <c r="V6" s="166"/>
      <c r="W6" s="166"/>
      <c r="X6" s="166"/>
      <c r="Y6" s="166"/>
      <c r="Z6" s="166"/>
    </row>
    <row r="7">
      <c r="A7" s="176">
        <v>150</v>
      </c>
      <c r="B7" s="177" t="s">
        <v>141</v>
      </c>
      <c r="C7" s="176" t="s">
        <v>142</v>
      </c>
      <c r="D7" s="176" t="s">
        <v>143</v>
      </c>
      <c r="E7" s="176" t="s">
        <v>97</v>
      </c>
      <c r="F7" s="176" t="s">
        <v>97</v>
      </c>
      <c r="G7" s="176" t="s">
        <v>139</v>
      </c>
      <c r="H7" s="176" t="s">
        <v>97</v>
      </c>
      <c r="I7" s="176" t="s">
        <v>97</v>
      </c>
      <c r="J7" s="176" t="s">
        <v>144</v>
      </c>
      <c r="K7" s="176" t="s">
        <v>123</v>
      </c>
      <c r="L7" s="178" t="s">
        <v>145</v>
      </c>
      <c r="M7" s="178" t="s">
        <v>146</v>
      </c>
      <c r="N7" s="176" t="s">
        <v>97</v>
      </c>
      <c r="O7" s="176" t="s">
        <v>97</v>
      </c>
      <c r="P7" s="176" t="s">
        <v>97</v>
      </c>
      <c r="Q7" s="176" t="s">
        <v>97</v>
      </c>
      <c r="R7" s="176" t="s">
        <v>97</v>
      </c>
      <c r="S7" s="176" t="s">
        <v>139</v>
      </c>
      <c r="T7" s="176" t="s">
        <v>97</v>
      </c>
      <c r="U7" s="179" t="s">
        <v>97</v>
      </c>
      <c r="V7" s="166"/>
      <c r="W7" s="166"/>
      <c r="X7" s="166"/>
      <c r="Y7" s="166"/>
      <c r="Z7" s="166"/>
    </row>
    <row r="8">
      <c r="A8" s="172">
        <v>149</v>
      </c>
      <c r="B8" s="173" t="s">
        <v>147</v>
      </c>
      <c r="C8" s="172" t="s">
        <v>148</v>
      </c>
      <c r="D8" s="172" t="s">
        <v>149</v>
      </c>
      <c r="E8" s="172" t="s">
        <v>139</v>
      </c>
      <c r="F8" s="172" t="s">
        <v>97</v>
      </c>
      <c r="G8" s="172" t="s">
        <v>97</v>
      </c>
      <c r="H8" s="172" t="s">
        <v>97</v>
      </c>
      <c r="I8" s="172" t="s">
        <v>139</v>
      </c>
      <c r="J8" s="172" t="s">
        <v>115</v>
      </c>
      <c r="K8" s="172" t="s">
        <v>150</v>
      </c>
      <c r="L8" s="174" t="s">
        <v>134</v>
      </c>
      <c r="M8" s="174" t="s">
        <v>151</v>
      </c>
      <c r="N8" s="172" t="s">
        <v>97</v>
      </c>
      <c r="O8" s="172" t="s">
        <v>97</v>
      </c>
      <c r="P8" s="172" t="s">
        <v>97</v>
      </c>
      <c r="Q8" s="172" t="s">
        <v>139</v>
      </c>
      <c r="R8" s="172" t="s">
        <v>97</v>
      </c>
      <c r="S8" s="172" t="s">
        <v>97</v>
      </c>
      <c r="T8" s="172" t="s">
        <v>97</v>
      </c>
      <c r="U8" s="175" t="s">
        <v>97</v>
      </c>
      <c r="V8" s="166"/>
      <c r="W8" s="166"/>
      <c r="X8" s="166"/>
      <c r="Y8" s="166"/>
      <c r="Z8" s="166"/>
    </row>
    <row r="9">
      <c r="A9" s="176">
        <v>148</v>
      </c>
      <c r="B9" s="177" t="s">
        <v>152</v>
      </c>
      <c r="C9" s="176" t="s">
        <v>153</v>
      </c>
      <c r="D9" s="176" t="s">
        <v>154</v>
      </c>
      <c r="E9" s="176" t="s">
        <v>97</v>
      </c>
      <c r="F9" s="176" t="s">
        <v>97</v>
      </c>
      <c r="G9" s="176" t="s">
        <v>97</v>
      </c>
      <c r="H9" s="176" t="s">
        <v>97</v>
      </c>
      <c r="I9" s="176" t="s">
        <v>97</v>
      </c>
      <c r="J9" s="176" t="s">
        <v>155</v>
      </c>
      <c r="K9" s="176" t="s">
        <v>156</v>
      </c>
      <c r="L9" s="178"/>
      <c r="M9" s="178"/>
      <c r="N9" s="176" t="s">
        <v>97</v>
      </c>
      <c r="O9" s="176" t="s">
        <v>140</v>
      </c>
      <c r="P9" s="176" t="s">
        <v>118</v>
      </c>
      <c r="Q9" s="176" t="s">
        <v>157</v>
      </c>
      <c r="R9" s="176" t="s">
        <v>97</v>
      </c>
      <c r="S9" s="176" t="s">
        <v>158</v>
      </c>
      <c r="T9" s="176" t="s">
        <v>140</v>
      </c>
      <c r="U9" s="179" t="s">
        <v>140</v>
      </c>
      <c r="V9" s="166"/>
      <c r="W9" s="166"/>
      <c r="X9" s="166"/>
      <c r="Y9" s="166"/>
      <c r="Z9" s="166"/>
    </row>
    <row r="10">
      <c r="A10" s="172">
        <v>147</v>
      </c>
      <c r="B10" s="173" t="s">
        <v>159</v>
      </c>
      <c r="C10" s="172" t="s">
        <v>94</v>
      </c>
      <c r="D10" s="172" t="s">
        <v>95</v>
      </c>
      <c r="E10" s="172" t="s">
        <v>160</v>
      </c>
      <c r="F10" s="172" t="s">
        <v>97</v>
      </c>
      <c r="G10" s="172" t="s">
        <v>161</v>
      </c>
      <c r="H10" s="172" t="s">
        <v>97</v>
      </c>
      <c r="I10" s="172" t="s">
        <v>160</v>
      </c>
      <c r="J10" s="172" t="s">
        <v>139</v>
      </c>
      <c r="K10" s="172" t="s">
        <v>162</v>
      </c>
      <c r="L10" s="174" t="s">
        <v>101</v>
      </c>
      <c r="M10" s="174" t="s">
        <v>163</v>
      </c>
      <c r="N10" s="172" t="s">
        <v>97</v>
      </c>
      <c r="O10" s="172" t="s">
        <v>97</v>
      </c>
      <c r="P10" s="172" t="s">
        <v>160</v>
      </c>
      <c r="Q10" s="172" t="s">
        <v>97</v>
      </c>
      <c r="R10" s="172" t="s">
        <v>97</v>
      </c>
      <c r="S10" s="172" t="s">
        <v>164</v>
      </c>
      <c r="T10" s="172" t="s">
        <v>116</v>
      </c>
      <c r="U10" s="175" t="s">
        <v>97</v>
      </c>
      <c r="V10" s="166"/>
      <c r="W10" s="166"/>
      <c r="X10" s="166"/>
      <c r="Y10" s="166"/>
      <c r="Z10" s="166"/>
    </row>
    <row r="11">
      <c r="A11" s="176">
        <v>146</v>
      </c>
      <c r="B11" s="177" t="s">
        <v>165</v>
      </c>
      <c r="C11" s="176" t="s">
        <v>166</v>
      </c>
      <c r="D11" s="176" t="s">
        <v>167</v>
      </c>
      <c r="E11" s="176" t="s">
        <v>168</v>
      </c>
      <c r="F11" s="176" t="s">
        <v>97</v>
      </c>
      <c r="G11" s="176" t="s">
        <v>169</v>
      </c>
      <c r="H11" s="176" t="s">
        <v>97</v>
      </c>
      <c r="I11" s="176" t="s">
        <v>168</v>
      </c>
      <c r="J11" s="176" t="s">
        <v>170</v>
      </c>
      <c r="K11" s="176" t="s">
        <v>106</v>
      </c>
      <c r="L11" s="178" t="s">
        <v>171</v>
      </c>
      <c r="M11" s="178" t="s">
        <v>172</v>
      </c>
      <c r="N11" s="176" t="s">
        <v>97</v>
      </c>
      <c r="O11" s="176" t="s">
        <v>97</v>
      </c>
      <c r="P11" s="176" t="s">
        <v>173</v>
      </c>
      <c r="Q11" s="176" t="s">
        <v>174</v>
      </c>
      <c r="R11" s="176" t="s">
        <v>97</v>
      </c>
      <c r="S11" s="176" t="s">
        <v>175</v>
      </c>
      <c r="T11" s="176" t="s">
        <v>176</v>
      </c>
      <c r="U11" s="179" t="s">
        <v>97</v>
      </c>
      <c r="V11" s="166"/>
      <c r="W11" s="166"/>
      <c r="X11" s="166"/>
      <c r="Y11" s="166"/>
      <c r="Z11" s="166"/>
    </row>
    <row r="12">
      <c r="A12" s="172">
        <v>145</v>
      </c>
      <c r="B12" s="173" t="s">
        <v>177</v>
      </c>
      <c r="C12" s="172" t="s">
        <v>178</v>
      </c>
      <c r="D12" s="172" t="s">
        <v>179</v>
      </c>
      <c r="E12" s="172" t="s">
        <v>117</v>
      </c>
      <c r="F12" s="172" t="s">
        <v>97</v>
      </c>
      <c r="G12" s="172" t="s">
        <v>180</v>
      </c>
      <c r="H12" s="172" t="s">
        <v>97</v>
      </c>
      <c r="I12" s="172" t="s">
        <v>117</v>
      </c>
      <c r="J12" s="172" t="s">
        <v>144</v>
      </c>
      <c r="K12" s="172" t="s">
        <v>139</v>
      </c>
      <c r="L12" s="174" t="s">
        <v>101</v>
      </c>
      <c r="M12" s="174" t="s">
        <v>181</v>
      </c>
      <c r="N12" s="172" t="s">
        <v>97</v>
      </c>
      <c r="O12" s="172" t="s">
        <v>97</v>
      </c>
      <c r="P12" s="172" t="s">
        <v>174</v>
      </c>
      <c r="Q12" s="172" t="s">
        <v>114</v>
      </c>
      <c r="R12" s="172" t="s">
        <v>97</v>
      </c>
      <c r="S12" s="172" t="s">
        <v>182</v>
      </c>
      <c r="T12" s="172" t="s">
        <v>183</v>
      </c>
      <c r="U12" s="175" t="s">
        <v>97</v>
      </c>
      <c r="V12" s="166"/>
      <c r="W12" s="166"/>
      <c r="X12" s="166"/>
      <c r="Y12" s="166"/>
      <c r="Z12" s="166"/>
    </row>
    <row r="13">
      <c r="A13" s="176">
        <v>144</v>
      </c>
      <c r="B13" s="177" t="s">
        <v>184</v>
      </c>
      <c r="C13" s="176" t="s">
        <v>185</v>
      </c>
      <c r="D13" s="176" t="s">
        <v>186</v>
      </c>
      <c r="E13" s="176" t="s">
        <v>187</v>
      </c>
      <c r="F13" s="176" t="s">
        <v>140</v>
      </c>
      <c r="G13" s="176" t="s">
        <v>188</v>
      </c>
      <c r="H13" s="176" t="s">
        <v>140</v>
      </c>
      <c r="I13" s="176" t="s">
        <v>189</v>
      </c>
      <c r="J13" s="176" t="s">
        <v>190</v>
      </c>
      <c r="K13" s="176" t="s">
        <v>190</v>
      </c>
      <c r="L13" s="178" t="s">
        <v>191</v>
      </c>
      <c r="M13" s="178" t="s">
        <v>192</v>
      </c>
      <c r="N13" s="176" t="s">
        <v>97</v>
      </c>
      <c r="O13" s="176" t="s">
        <v>140</v>
      </c>
      <c r="P13" s="176" t="s">
        <v>189</v>
      </c>
      <c r="Q13" s="176" t="s">
        <v>97</v>
      </c>
      <c r="R13" s="176" t="s">
        <v>97</v>
      </c>
      <c r="S13" s="176" t="s">
        <v>193</v>
      </c>
      <c r="T13" s="176" t="s">
        <v>194</v>
      </c>
      <c r="U13" s="179" t="s">
        <v>140</v>
      </c>
      <c r="V13" s="166"/>
      <c r="W13" s="166"/>
      <c r="X13" s="166"/>
      <c r="Y13" s="166"/>
      <c r="Z13" s="166"/>
    </row>
    <row r="14">
      <c r="A14" s="172">
        <v>143</v>
      </c>
      <c r="B14" s="173" t="s">
        <v>195</v>
      </c>
      <c r="C14" s="172" t="s">
        <v>196</v>
      </c>
      <c r="D14" s="172" t="s">
        <v>197</v>
      </c>
      <c r="E14" s="172" t="s">
        <v>198</v>
      </c>
      <c r="F14" s="172" t="s">
        <v>97</v>
      </c>
      <c r="G14" s="172" t="s">
        <v>199</v>
      </c>
      <c r="H14" s="172" t="s">
        <v>97</v>
      </c>
      <c r="I14" s="172" t="s">
        <v>198</v>
      </c>
      <c r="J14" s="172" t="s">
        <v>200</v>
      </c>
      <c r="K14" s="172" t="s">
        <v>162</v>
      </c>
      <c r="L14" s="174" t="s">
        <v>201</v>
      </c>
      <c r="M14" s="174" t="s">
        <v>202</v>
      </c>
      <c r="N14" s="172" t="s">
        <v>97</v>
      </c>
      <c r="O14" s="172" t="s">
        <v>97</v>
      </c>
      <c r="P14" s="172" t="s">
        <v>203</v>
      </c>
      <c r="Q14" s="172" t="s">
        <v>140</v>
      </c>
      <c r="R14" s="172" t="s">
        <v>97</v>
      </c>
      <c r="S14" s="172" t="s">
        <v>173</v>
      </c>
      <c r="T14" s="172" t="s">
        <v>204</v>
      </c>
      <c r="U14" s="175" t="s">
        <v>97</v>
      </c>
      <c r="V14" s="166"/>
      <c r="W14" s="166"/>
      <c r="X14" s="166"/>
      <c r="Y14" s="166"/>
      <c r="Z14" s="166"/>
    </row>
    <row r="15">
      <c r="A15" s="176">
        <v>142</v>
      </c>
      <c r="B15" s="177" t="s">
        <v>205</v>
      </c>
      <c r="C15" s="176" t="s">
        <v>94</v>
      </c>
      <c r="D15" s="176" t="s">
        <v>95</v>
      </c>
      <c r="E15" s="176" t="s">
        <v>204</v>
      </c>
      <c r="F15" s="176" t="s">
        <v>97</v>
      </c>
      <c r="G15" s="176" t="s">
        <v>206</v>
      </c>
      <c r="H15" s="176" t="s">
        <v>97</v>
      </c>
      <c r="I15" s="176" t="s">
        <v>204</v>
      </c>
      <c r="J15" s="176" t="s">
        <v>207</v>
      </c>
      <c r="K15" s="176" t="s">
        <v>203</v>
      </c>
      <c r="L15" s="178" t="s">
        <v>208</v>
      </c>
      <c r="M15" s="178" t="s">
        <v>202</v>
      </c>
      <c r="N15" s="176" t="s">
        <v>97</v>
      </c>
      <c r="O15" s="176" t="s">
        <v>97</v>
      </c>
      <c r="P15" s="176" t="s">
        <v>160</v>
      </c>
      <c r="Q15" s="176" t="s">
        <v>114</v>
      </c>
      <c r="R15" s="176" t="s">
        <v>97</v>
      </c>
      <c r="S15" s="176" t="s">
        <v>189</v>
      </c>
      <c r="T15" s="176" t="s">
        <v>168</v>
      </c>
      <c r="U15" s="179" t="s">
        <v>199</v>
      </c>
      <c r="V15" s="166"/>
      <c r="W15" s="166"/>
      <c r="X15" s="166"/>
      <c r="Y15" s="166"/>
      <c r="Z15" s="166"/>
    </row>
    <row r="16">
      <c r="A16" s="172">
        <v>141</v>
      </c>
      <c r="B16" s="173" t="s">
        <v>209</v>
      </c>
      <c r="C16" s="172" t="s">
        <v>210</v>
      </c>
      <c r="D16" s="172" t="s">
        <v>211</v>
      </c>
      <c r="E16" s="172" t="s">
        <v>160</v>
      </c>
      <c r="F16" s="172" t="s">
        <v>97</v>
      </c>
      <c r="G16" s="172" t="s">
        <v>180</v>
      </c>
      <c r="H16" s="172" t="s">
        <v>97</v>
      </c>
      <c r="I16" s="172" t="s">
        <v>160</v>
      </c>
      <c r="J16" s="172" t="s">
        <v>188</v>
      </c>
      <c r="K16" s="172" t="s">
        <v>196</v>
      </c>
      <c r="L16" s="174"/>
      <c r="M16" s="174"/>
      <c r="N16" s="172" t="s">
        <v>97</v>
      </c>
      <c r="O16" s="172" t="s">
        <v>97</v>
      </c>
      <c r="P16" s="172" t="s">
        <v>212</v>
      </c>
      <c r="Q16" s="172" t="s">
        <v>115</v>
      </c>
      <c r="R16" s="172" t="s">
        <v>97</v>
      </c>
      <c r="S16" s="172" t="s">
        <v>198</v>
      </c>
      <c r="T16" s="172" t="s">
        <v>213</v>
      </c>
      <c r="U16" s="175" t="s">
        <v>140</v>
      </c>
      <c r="V16" s="166"/>
      <c r="W16" s="166"/>
      <c r="X16" s="166"/>
      <c r="Y16" s="166"/>
      <c r="Z16" s="166"/>
    </row>
    <row r="17">
      <c r="A17" s="176">
        <v>140</v>
      </c>
      <c r="B17" s="177" t="s">
        <v>214</v>
      </c>
      <c r="C17" s="176" t="s">
        <v>215</v>
      </c>
      <c r="D17" s="176" t="s">
        <v>216</v>
      </c>
      <c r="E17" s="176" t="s">
        <v>217</v>
      </c>
      <c r="F17" s="176" t="s">
        <v>97</v>
      </c>
      <c r="G17" s="176" t="s">
        <v>111</v>
      </c>
      <c r="H17" s="176" t="s">
        <v>97</v>
      </c>
      <c r="I17" s="176" t="s">
        <v>217</v>
      </c>
      <c r="J17" s="176" t="s">
        <v>200</v>
      </c>
      <c r="K17" s="176" t="s">
        <v>139</v>
      </c>
      <c r="L17" s="178" t="s">
        <v>218</v>
      </c>
      <c r="M17" s="178" t="s">
        <v>219</v>
      </c>
      <c r="N17" s="176" t="s">
        <v>97</v>
      </c>
      <c r="O17" s="176" t="s">
        <v>97</v>
      </c>
      <c r="P17" s="176" t="s">
        <v>220</v>
      </c>
      <c r="Q17" s="176" t="s">
        <v>115</v>
      </c>
      <c r="R17" s="176" t="s">
        <v>97</v>
      </c>
      <c r="S17" s="176" t="s">
        <v>221</v>
      </c>
      <c r="T17" s="176" t="s">
        <v>129</v>
      </c>
      <c r="U17" s="179" t="s">
        <v>97</v>
      </c>
      <c r="V17" s="166"/>
      <c r="W17" s="166"/>
      <c r="X17" s="166"/>
      <c r="Y17" s="166"/>
      <c r="Z17" s="166"/>
    </row>
    <row r="18">
      <c r="A18" s="172">
        <v>139</v>
      </c>
      <c r="B18" s="173" t="s">
        <v>222</v>
      </c>
      <c r="C18" s="172" t="s">
        <v>210</v>
      </c>
      <c r="D18" s="172" t="s">
        <v>211</v>
      </c>
      <c r="E18" s="172" t="s">
        <v>223</v>
      </c>
      <c r="F18" s="172" t="s">
        <v>97</v>
      </c>
      <c r="G18" s="172" t="s">
        <v>224</v>
      </c>
      <c r="H18" s="172" t="s">
        <v>97</v>
      </c>
      <c r="I18" s="172" t="s">
        <v>223</v>
      </c>
      <c r="J18" s="172" t="s">
        <v>225</v>
      </c>
      <c r="K18" s="172" t="s">
        <v>200</v>
      </c>
      <c r="L18" s="174" t="s">
        <v>226</v>
      </c>
      <c r="M18" s="174" t="s">
        <v>227</v>
      </c>
      <c r="N18" s="172" t="s">
        <v>97</v>
      </c>
      <c r="O18" s="172" t="s">
        <v>97</v>
      </c>
      <c r="P18" s="172" t="s">
        <v>187</v>
      </c>
      <c r="Q18" s="172" t="s">
        <v>115</v>
      </c>
      <c r="R18" s="172" t="s">
        <v>97</v>
      </c>
      <c r="S18" s="172" t="s">
        <v>155</v>
      </c>
      <c r="T18" s="172" t="s">
        <v>228</v>
      </c>
      <c r="U18" s="175" t="s">
        <v>97</v>
      </c>
      <c r="V18" s="166"/>
      <c r="W18" s="166"/>
      <c r="X18" s="166"/>
      <c r="Y18" s="166"/>
      <c r="Z18" s="166"/>
    </row>
    <row r="19">
      <c r="A19" s="176">
        <v>137</v>
      </c>
      <c r="B19" s="177" t="s">
        <v>229</v>
      </c>
      <c r="C19" s="176" t="s">
        <v>230</v>
      </c>
      <c r="D19" s="176" t="s">
        <v>231</v>
      </c>
      <c r="E19" s="176" t="s">
        <v>232</v>
      </c>
      <c r="F19" s="176" t="s">
        <v>111</v>
      </c>
      <c r="G19" s="176" t="s">
        <v>204</v>
      </c>
      <c r="H19" s="176" t="s">
        <v>111</v>
      </c>
      <c r="I19" s="176" t="s">
        <v>187</v>
      </c>
      <c r="J19" s="176" t="s">
        <v>187</v>
      </c>
      <c r="K19" s="176" t="s">
        <v>233</v>
      </c>
      <c r="L19" s="178" t="s">
        <v>234</v>
      </c>
      <c r="M19" s="178" t="s">
        <v>235</v>
      </c>
      <c r="N19" s="176" t="s">
        <v>213</v>
      </c>
      <c r="O19" s="176" t="s">
        <v>220</v>
      </c>
      <c r="P19" s="176" t="s">
        <v>117</v>
      </c>
      <c r="Q19" s="176" t="s">
        <v>118</v>
      </c>
      <c r="R19" s="176" t="s">
        <v>97</v>
      </c>
      <c r="S19" s="176" t="s">
        <v>204</v>
      </c>
      <c r="T19" s="176" t="s">
        <v>97</v>
      </c>
      <c r="U19" s="179" t="s">
        <v>97</v>
      </c>
      <c r="V19" s="166"/>
      <c r="W19" s="166"/>
      <c r="X19" s="166"/>
      <c r="Y19" s="166"/>
      <c r="Z19" s="166"/>
    </row>
    <row r="20">
      <c r="A20" s="172">
        <v>136</v>
      </c>
      <c r="B20" s="173" t="s">
        <v>236</v>
      </c>
      <c r="C20" s="172" t="s">
        <v>237</v>
      </c>
      <c r="D20" s="172" t="s">
        <v>137</v>
      </c>
      <c r="E20" s="172" t="s">
        <v>238</v>
      </c>
      <c r="F20" s="172" t="s">
        <v>140</v>
      </c>
      <c r="G20" s="172" t="s">
        <v>239</v>
      </c>
      <c r="H20" s="172" t="s">
        <v>140</v>
      </c>
      <c r="I20" s="172" t="s">
        <v>173</v>
      </c>
      <c r="J20" s="172" t="s">
        <v>124</v>
      </c>
      <c r="K20" s="172" t="s">
        <v>240</v>
      </c>
      <c r="L20" s="174" t="s">
        <v>241</v>
      </c>
      <c r="M20" s="174" t="s">
        <v>242</v>
      </c>
      <c r="N20" s="172" t="s">
        <v>97</v>
      </c>
      <c r="O20" s="172" t="s">
        <v>140</v>
      </c>
      <c r="P20" s="172" t="s">
        <v>243</v>
      </c>
      <c r="Q20" s="172" t="s">
        <v>118</v>
      </c>
      <c r="R20" s="172" t="s">
        <v>97</v>
      </c>
      <c r="S20" s="172" t="s">
        <v>244</v>
      </c>
      <c r="T20" s="172" t="s">
        <v>173</v>
      </c>
      <c r="U20" s="175" t="s">
        <v>115</v>
      </c>
      <c r="V20" s="166"/>
      <c r="W20" s="166"/>
      <c r="X20" s="166"/>
      <c r="Y20" s="166"/>
      <c r="Z20" s="166"/>
    </row>
    <row r="21">
      <c r="A21" s="176">
        <v>135</v>
      </c>
      <c r="B21" s="177" t="s">
        <v>245</v>
      </c>
      <c r="C21" s="176" t="s">
        <v>246</v>
      </c>
      <c r="D21" s="176" t="s">
        <v>247</v>
      </c>
      <c r="E21" s="176" t="s">
        <v>97</v>
      </c>
      <c r="F21" s="176" t="s">
        <v>97</v>
      </c>
      <c r="G21" s="176" t="s">
        <v>97</v>
      </c>
      <c r="H21" s="176" t="s">
        <v>97</v>
      </c>
      <c r="I21" s="176" t="s">
        <v>97</v>
      </c>
      <c r="J21" s="176" t="s">
        <v>122</v>
      </c>
      <c r="K21" s="176" t="s">
        <v>248</v>
      </c>
      <c r="L21" s="178"/>
      <c r="M21" s="178"/>
      <c r="N21" s="176" t="s">
        <v>114</v>
      </c>
      <c r="O21" s="176" t="s">
        <v>160</v>
      </c>
      <c r="P21" s="176" t="s">
        <v>249</v>
      </c>
      <c r="Q21" s="176" t="s">
        <v>204</v>
      </c>
      <c r="R21" s="176" t="s">
        <v>97</v>
      </c>
      <c r="S21" s="176" t="s">
        <v>220</v>
      </c>
      <c r="T21" s="176" t="s">
        <v>114</v>
      </c>
      <c r="U21" s="179" t="s">
        <v>97</v>
      </c>
      <c r="V21" s="166"/>
      <c r="W21" s="166"/>
      <c r="X21" s="166"/>
      <c r="Y21" s="166"/>
      <c r="Z21" s="166"/>
    </row>
    <row r="22">
      <c r="A22" s="172">
        <v>134</v>
      </c>
      <c r="B22" s="173" t="s">
        <v>250</v>
      </c>
      <c r="C22" s="172" t="s">
        <v>251</v>
      </c>
      <c r="D22" s="172" t="s">
        <v>252</v>
      </c>
      <c r="E22" s="172" t="s">
        <v>114</v>
      </c>
      <c r="F22" s="172" t="s">
        <v>97</v>
      </c>
      <c r="G22" s="172" t="s">
        <v>157</v>
      </c>
      <c r="H22" s="172" t="s">
        <v>97</v>
      </c>
      <c r="I22" s="172" t="s">
        <v>97</v>
      </c>
      <c r="J22" s="172" t="s">
        <v>253</v>
      </c>
      <c r="K22" s="172" t="s">
        <v>104</v>
      </c>
      <c r="L22" s="174" t="s">
        <v>125</v>
      </c>
      <c r="M22" s="174" t="s">
        <v>254</v>
      </c>
      <c r="N22" s="172" t="s">
        <v>97</v>
      </c>
      <c r="O22" s="172" t="s">
        <v>97</v>
      </c>
      <c r="P22" s="172" t="s">
        <v>97</v>
      </c>
      <c r="Q22" s="172" t="s">
        <v>114</v>
      </c>
      <c r="R22" s="172" t="s">
        <v>97</v>
      </c>
      <c r="S22" s="172" t="s">
        <v>249</v>
      </c>
      <c r="T22" s="172" t="s">
        <v>255</v>
      </c>
      <c r="U22" s="175" t="s">
        <v>217</v>
      </c>
      <c r="V22" s="166"/>
      <c r="W22" s="166"/>
      <c r="X22" s="166"/>
      <c r="Y22" s="166"/>
      <c r="Z22" s="166"/>
    </row>
    <row r="23">
      <c r="A23" s="176">
        <v>133</v>
      </c>
      <c r="B23" s="177" t="s">
        <v>256</v>
      </c>
      <c r="C23" s="176" t="s">
        <v>210</v>
      </c>
      <c r="D23" s="176" t="s">
        <v>211</v>
      </c>
      <c r="E23" s="176" t="s">
        <v>189</v>
      </c>
      <c r="F23" s="176" t="s">
        <v>97</v>
      </c>
      <c r="G23" s="176" t="s">
        <v>170</v>
      </c>
      <c r="H23" s="176" t="s">
        <v>97</v>
      </c>
      <c r="I23" s="176" t="s">
        <v>189</v>
      </c>
      <c r="J23" s="176" t="s">
        <v>210</v>
      </c>
      <c r="K23" s="176" t="s">
        <v>257</v>
      </c>
      <c r="L23" s="178" t="s">
        <v>258</v>
      </c>
      <c r="M23" s="178" t="s">
        <v>259</v>
      </c>
      <c r="N23" s="176" t="s">
        <v>97</v>
      </c>
      <c r="O23" s="176" t="s">
        <v>97</v>
      </c>
      <c r="P23" s="176" t="s">
        <v>204</v>
      </c>
      <c r="Q23" s="176" t="s">
        <v>118</v>
      </c>
      <c r="R23" s="176" t="s">
        <v>97</v>
      </c>
      <c r="S23" s="176" t="s">
        <v>220</v>
      </c>
      <c r="T23" s="176" t="s">
        <v>260</v>
      </c>
      <c r="U23" s="179" t="s">
        <v>212</v>
      </c>
      <c r="V23" s="166"/>
      <c r="W23" s="166"/>
      <c r="X23" s="166"/>
      <c r="Y23" s="166"/>
      <c r="Z23" s="166"/>
    </row>
    <row r="24">
      <c r="A24" s="172">
        <v>132</v>
      </c>
      <c r="B24" s="173" t="s">
        <v>261</v>
      </c>
      <c r="C24" s="172" t="s">
        <v>262</v>
      </c>
      <c r="D24" s="172" t="s">
        <v>263</v>
      </c>
      <c r="E24" s="172" t="s">
        <v>160</v>
      </c>
      <c r="F24" s="172" t="s">
        <v>97</v>
      </c>
      <c r="G24" s="172" t="s">
        <v>98</v>
      </c>
      <c r="H24" s="172" t="s">
        <v>97</v>
      </c>
      <c r="I24" s="172" t="s">
        <v>96</v>
      </c>
      <c r="J24" s="172" t="s">
        <v>264</v>
      </c>
      <c r="K24" s="172" t="s">
        <v>239</v>
      </c>
      <c r="L24" s="174" t="s">
        <v>265</v>
      </c>
      <c r="M24" s="174" t="s">
        <v>266</v>
      </c>
      <c r="N24" s="172" t="s">
        <v>97</v>
      </c>
      <c r="O24" s="172" t="s">
        <v>97</v>
      </c>
      <c r="P24" s="172" t="s">
        <v>97</v>
      </c>
      <c r="Q24" s="172" t="s">
        <v>97</v>
      </c>
      <c r="R24" s="172" t="s">
        <v>97</v>
      </c>
      <c r="S24" s="172" t="s">
        <v>189</v>
      </c>
      <c r="T24" s="172" t="s">
        <v>117</v>
      </c>
      <c r="U24" s="175" t="s">
        <v>176</v>
      </c>
      <c r="V24" s="166"/>
      <c r="W24" s="166"/>
      <c r="X24" s="166"/>
      <c r="Y24" s="166"/>
      <c r="Z24" s="166"/>
    </row>
    <row r="25">
      <c r="A25" s="176">
        <v>131</v>
      </c>
      <c r="B25" s="177" t="s">
        <v>267</v>
      </c>
      <c r="C25" s="176" t="s">
        <v>268</v>
      </c>
      <c r="D25" s="176" t="s">
        <v>269</v>
      </c>
      <c r="E25" s="176" t="s">
        <v>270</v>
      </c>
      <c r="F25" s="176" t="s">
        <v>97</v>
      </c>
      <c r="G25" s="176" t="s">
        <v>224</v>
      </c>
      <c r="H25" s="176" t="s">
        <v>97</v>
      </c>
      <c r="I25" s="176" t="s">
        <v>270</v>
      </c>
      <c r="J25" s="176" t="s">
        <v>111</v>
      </c>
      <c r="K25" s="176" t="s">
        <v>131</v>
      </c>
      <c r="L25" s="178" t="s">
        <v>271</v>
      </c>
      <c r="M25" s="178" t="s">
        <v>272</v>
      </c>
      <c r="N25" s="176" t="s">
        <v>97</v>
      </c>
      <c r="O25" s="176" t="s">
        <v>97</v>
      </c>
      <c r="P25" s="176" t="s">
        <v>223</v>
      </c>
      <c r="Q25" s="176" t="s">
        <v>115</v>
      </c>
      <c r="R25" s="176" t="s">
        <v>97</v>
      </c>
      <c r="S25" s="176" t="s">
        <v>164</v>
      </c>
      <c r="T25" s="176" t="s">
        <v>160</v>
      </c>
      <c r="U25" s="179" t="s">
        <v>140</v>
      </c>
      <c r="V25" s="166"/>
      <c r="W25" s="166"/>
      <c r="X25" s="166"/>
      <c r="Y25" s="166"/>
      <c r="Z25" s="166"/>
    </row>
    <row r="26">
      <c r="A26" s="172">
        <v>130</v>
      </c>
      <c r="B26" s="173" t="s">
        <v>273</v>
      </c>
      <c r="C26" s="172" t="s">
        <v>274</v>
      </c>
      <c r="D26" s="172" t="s">
        <v>275</v>
      </c>
      <c r="E26" s="172" t="s">
        <v>128</v>
      </c>
      <c r="F26" s="172" t="s">
        <v>97</v>
      </c>
      <c r="G26" s="172" t="s">
        <v>199</v>
      </c>
      <c r="H26" s="172" t="s">
        <v>97</v>
      </c>
      <c r="I26" s="172" t="s">
        <v>128</v>
      </c>
      <c r="J26" s="172" t="s">
        <v>244</v>
      </c>
      <c r="K26" s="172" t="s">
        <v>246</v>
      </c>
      <c r="L26" s="174" t="s">
        <v>276</v>
      </c>
      <c r="M26" s="174" t="s">
        <v>277</v>
      </c>
      <c r="N26" s="172" t="s">
        <v>97</v>
      </c>
      <c r="O26" s="172" t="s">
        <v>97</v>
      </c>
      <c r="P26" s="172" t="s">
        <v>173</v>
      </c>
      <c r="Q26" s="172" t="s">
        <v>122</v>
      </c>
      <c r="R26" s="172" t="s">
        <v>97</v>
      </c>
      <c r="S26" s="172" t="s">
        <v>278</v>
      </c>
      <c r="T26" s="172" t="s">
        <v>114</v>
      </c>
      <c r="U26" s="175" t="s">
        <v>97</v>
      </c>
      <c r="V26" s="166"/>
      <c r="W26" s="166"/>
      <c r="X26" s="166"/>
      <c r="Y26" s="166"/>
      <c r="Z26" s="166"/>
    </row>
    <row r="27">
      <c r="A27" s="176">
        <v>129</v>
      </c>
      <c r="B27" s="177" t="s">
        <v>279</v>
      </c>
      <c r="C27" s="176" t="s">
        <v>118</v>
      </c>
      <c r="D27" s="176" t="s">
        <v>96</v>
      </c>
      <c r="E27" s="176" t="s">
        <v>97</v>
      </c>
      <c r="F27" s="176" t="s">
        <v>97</v>
      </c>
      <c r="G27" s="176" t="s">
        <v>97</v>
      </c>
      <c r="H27" s="176" t="s">
        <v>97</v>
      </c>
      <c r="I27" s="176" t="s">
        <v>97</v>
      </c>
      <c r="J27" s="176" t="s">
        <v>97</v>
      </c>
      <c r="K27" s="176" t="s">
        <v>97</v>
      </c>
      <c r="L27" s="178" t="s">
        <v>280</v>
      </c>
      <c r="M27" s="178" t="s">
        <v>281</v>
      </c>
      <c r="N27" s="176" t="s">
        <v>97</v>
      </c>
      <c r="O27" s="176" t="s">
        <v>97</v>
      </c>
      <c r="P27" s="176" t="s">
        <v>97</v>
      </c>
      <c r="Q27" s="176" t="s">
        <v>97</v>
      </c>
      <c r="R27" s="176" t="s">
        <v>97</v>
      </c>
      <c r="S27" s="176" t="s">
        <v>97</v>
      </c>
      <c r="T27" s="176" t="s">
        <v>97</v>
      </c>
      <c r="U27" s="179" t="s">
        <v>97</v>
      </c>
      <c r="V27" s="166"/>
      <c r="W27" s="166"/>
      <c r="X27" s="166"/>
      <c r="Y27" s="166"/>
      <c r="Z27" s="166"/>
    </row>
    <row r="28">
      <c r="A28" s="172">
        <v>128</v>
      </c>
      <c r="B28" s="173" t="s">
        <v>282</v>
      </c>
      <c r="C28" s="172" t="s">
        <v>251</v>
      </c>
      <c r="D28" s="172" t="s">
        <v>283</v>
      </c>
      <c r="E28" s="172" t="s">
        <v>155</v>
      </c>
      <c r="F28" s="172" t="s">
        <v>97</v>
      </c>
      <c r="G28" s="172" t="s">
        <v>284</v>
      </c>
      <c r="H28" s="172" t="s">
        <v>97</v>
      </c>
      <c r="I28" s="172" t="s">
        <v>155</v>
      </c>
      <c r="J28" s="172" t="s">
        <v>285</v>
      </c>
      <c r="K28" s="172" t="s">
        <v>98</v>
      </c>
      <c r="L28" s="174" t="s">
        <v>286</v>
      </c>
      <c r="M28" s="174" t="s">
        <v>287</v>
      </c>
      <c r="N28" s="172" t="s">
        <v>97</v>
      </c>
      <c r="O28" s="172" t="s">
        <v>97</v>
      </c>
      <c r="P28" s="172" t="s">
        <v>155</v>
      </c>
      <c r="Q28" s="172" t="s">
        <v>97</v>
      </c>
      <c r="R28" s="172" t="s">
        <v>97</v>
      </c>
      <c r="S28" s="172" t="s">
        <v>174</v>
      </c>
      <c r="T28" s="172" t="s">
        <v>199</v>
      </c>
      <c r="U28" s="175" t="s">
        <v>115</v>
      </c>
      <c r="V28" s="166"/>
      <c r="W28" s="166"/>
      <c r="X28" s="166"/>
      <c r="Y28" s="166"/>
      <c r="Z28" s="166"/>
    </row>
    <row r="29">
      <c r="A29" s="176">
        <v>127</v>
      </c>
      <c r="B29" s="177" t="s">
        <v>288</v>
      </c>
      <c r="C29" s="176" t="s">
        <v>120</v>
      </c>
      <c r="D29" s="176" t="s">
        <v>121</v>
      </c>
      <c r="E29" s="176" t="s">
        <v>193</v>
      </c>
      <c r="F29" s="176" t="s">
        <v>97</v>
      </c>
      <c r="G29" s="176" t="s">
        <v>213</v>
      </c>
      <c r="H29" s="176" t="s">
        <v>97</v>
      </c>
      <c r="I29" s="176" t="s">
        <v>193</v>
      </c>
      <c r="J29" s="176" t="s">
        <v>232</v>
      </c>
      <c r="K29" s="176" t="s">
        <v>99</v>
      </c>
      <c r="L29" s="178" t="s">
        <v>191</v>
      </c>
      <c r="M29" s="178" t="s">
        <v>287</v>
      </c>
      <c r="N29" s="176" t="s">
        <v>97</v>
      </c>
      <c r="O29" s="176" t="s">
        <v>97</v>
      </c>
      <c r="P29" s="176" t="s">
        <v>199</v>
      </c>
      <c r="Q29" s="176" t="s">
        <v>174</v>
      </c>
      <c r="R29" s="176" t="s">
        <v>97</v>
      </c>
      <c r="S29" s="176" t="s">
        <v>176</v>
      </c>
      <c r="T29" s="176" t="s">
        <v>228</v>
      </c>
      <c r="U29" s="179" t="s">
        <v>115</v>
      </c>
      <c r="V29" s="166"/>
      <c r="W29" s="166"/>
      <c r="X29" s="166"/>
      <c r="Y29" s="166"/>
      <c r="Z29" s="166"/>
    </row>
    <row r="30">
      <c r="A30" s="172">
        <v>126</v>
      </c>
      <c r="B30" s="173" t="s">
        <v>289</v>
      </c>
      <c r="C30" s="172" t="s">
        <v>210</v>
      </c>
      <c r="D30" s="172" t="s">
        <v>290</v>
      </c>
      <c r="E30" s="172" t="s">
        <v>117</v>
      </c>
      <c r="F30" s="172" t="s">
        <v>97</v>
      </c>
      <c r="G30" s="172" t="s">
        <v>285</v>
      </c>
      <c r="H30" s="172" t="s">
        <v>97</v>
      </c>
      <c r="I30" s="172" t="s">
        <v>117</v>
      </c>
      <c r="J30" s="172" t="s">
        <v>215</v>
      </c>
      <c r="K30" s="172" t="s">
        <v>291</v>
      </c>
      <c r="L30" s="174" t="s">
        <v>292</v>
      </c>
      <c r="M30" s="174" t="s">
        <v>293</v>
      </c>
      <c r="N30" s="172" t="s">
        <v>97</v>
      </c>
      <c r="O30" s="172" t="s">
        <v>97</v>
      </c>
      <c r="P30" s="172" t="s">
        <v>160</v>
      </c>
      <c r="Q30" s="172" t="s">
        <v>118</v>
      </c>
      <c r="R30" s="172" t="s">
        <v>97</v>
      </c>
      <c r="S30" s="172" t="s">
        <v>294</v>
      </c>
      <c r="T30" s="172" t="s">
        <v>111</v>
      </c>
      <c r="U30" s="175" t="s">
        <v>140</v>
      </c>
      <c r="V30" s="166"/>
      <c r="W30" s="166"/>
      <c r="X30" s="166"/>
      <c r="Y30" s="166"/>
      <c r="Z30" s="166"/>
    </row>
    <row r="31">
      <c r="A31" s="176">
        <v>125</v>
      </c>
      <c r="B31" s="177" t="s">
        <v>295</v>
      </c>
      <c r="C31" s="176" t="s">
        <v>296</v>
      </c>
      <c r="D31" s="176" t="s">
        <v>297</v>
      </c>
      <c r="E31" s="176" t="s">
        <v>127</v>
      </c>
      <c r="F31" s="176" t="s">
        <v>97</v>
      </c>
      <c r="G31" s="176" t="s">
        <v>298</v>
      </c>
      <c r="H31" s="176" t="s">
        <v>97</v>
      </c>
      <c r="I31" s="176" t="s">
        <v>127</v>
      </c>
      <c r="J31" s="176" t="s">
        <v>299</v>
      </c>
      <c r="K31" s="176" t="s">
        <v>180</v>
      </c>
      <c r="L31" s="178" t="s">
        <v>300</v>
      </c>
      <c r="M31" s="178" t="s">
        <v>301</v>
      </c>
      <c r="N31" s="176" t="s">
        <v>97</v>
      </c>
      <c r="O31" s="176" t="s">
        <v>97</v>
      </c>
      <c r="P31" s="176" t="s">
        <v>129</v>
      </c>
      <c r="Q31" s="176" t="s">
        <v>302</v>
      </c>
      <c r="R31" s="176" t="s">
        <v>97</v>
      </c>
      <c r="S31" s="176" t="s">
        <v>194</v>
      </c>
      <c r="T31" s="176" t="s">
        <v>199</v>
      </c>
      <c r="U31" s="179" t="s">
        <v>140</v>
      </c>
      <c r="V31" s="166"/>
      <c r="W31" s="166"/>
      <c r="X31" s="166"/>
      <c r="Y31" s="166"/>
      <c r="Z31" s="166"/>
    </row>
    <row r="32">
      <c r="A32" s="172">
        <v>123</v>
      </c>
      <c r="B32" s="173" t="s">
        <v>303</v>
      </c>
      <c r="C32" s="172" t="s">
        <v>274</v>
      </c>
      <c r="D32" s="172" t="s">
        <v>304</v>
      </c>
      <c r="E32" s="172" t="s">
        <v>117</v>
      </c>
      <c r="F32" s="172" t="s">
        <v>97</v>
      </c>
      <c r="G32" s="172" t="s">
        <v>232</v>
      </c>
      <c r="H32" s="172" t="s">
        <v>97</v>
      </c>
      <c r="I32" s="172" t="s">
        <v>117</v>
      </c>
      <c r="J32" s="172" t="s">
        <v>305</v>
      </c>
      <c r="K32" s="172" t="s">
        <v>306</v>
      </c>
      <c r="L32" s="174" t="s">
        <v>276</v>
      </c>
      <c r="M32" s="174" t="s">
        <v>307</v>
      </c>
      <c r="N32" s="172" t="s">
        <v>97</v>
      </c>
      <c r="O32" s="172" t="s">
        <v>97</v>
      </c>
      <c r="P32" s="172" t="s">
        <v>176</v>
      </c>
      <c r="Q32" s="172" t="s">
        <v>115</v>
      </c>
      <c r="R32" s="172" t="s">
        <v>97</v>
      </c>
      <c r="S32" s="172" t="s">
        <v>308</v>
      </c>
      <c r="T32" s="172" t="s">
        <v>174</v>
      </c>
      <c r="U32" s="175" t="s">
        <v>97</v>
      </c>
      <c r="V32" s="166"/>
      <c r="W32" s="166"/>
      <c r="X32" s="166"/>
      <c r="Y32" s="166"/>
      <c r="Z32" s="166"/>
    </row>
    <row r="33">
      <c r="A33" s="176">
        <v>124</v>
      </c>
      <c r="B33" s="177" t="s">
        <v>309</v>
      </c>
      <c r="C33" s="176" t="s">
        <v>166</v>
      </c>
      <c r="D33" s="176" t="s">
        <v>167</v>
      </c>
      <c r="E33" s="176" t="s">
        <v>174</v>
      </c>
      <c r="F33" s="176" t="s">
        <v>97</v>
      </c>
      <c r="G33" s="176" t="s">
        <v>206</v>
      </c>
      <c r="H33" s="176" t="s">
        <v>97</v>
      </c>
      <c r="I33" s="176" t="s">
        <v>174</v>
      </c>
      <c r="J33" s="176" t="s">
        <v>142</v>
      </c>
      <c r="K33" s="176" t="s">
        <v>310</v>
      </c>
      <c r="L33" s="178" t="s">
        <v>311</v>
      </c>
      <c r="M33" s="178" t="s">
        <v>312</v>
      </c>
      <c r="N33" s="176" t="s">
        <v>97</v>
      </c>
      <c r="O33" s="176" t="s">
        <v>97</v>
      </c>
      <c r="P33" s="176" t="s">
        <v>96</v>
      </c>
      <c r="Q33" s="176" t="s">
        <v>115</v>
      </c>
      <c r="R33" s="176" t="s">
        <v>97</v>
      </c>
      <c r="S33" s="176" t="s">
        <v>243</v>
      </c>
      <c r="T33" s="176" t="s">
        <v>270</v>
      </c>
      <c r="U33" s="179" t="s">
        <v>313</v>
      </c>
      <c r="V33" s="166"/>
      <c r="W33" s="166"/>
      <c r="X33" s="166"/>
      <c r="Y33" s="166"/>
      <c r="Z33" s="166"/>
    </row>
    <row r="34">
      <c r="A34" s="172">
        <v>122</v>
      </c>
      <c r="B34" s="173" t="s">
        <v>314</v>
      </c>
      <c r="C34" s="172" t="s">
        <v>274</v>
      </c>
      <c r="D34" s="172" t="s">
        <v>275</v>
      </c>
      <c r="E34" s="172" t="s">
        <v>168</v>
      </c>
      <c r="F34" s="172" t="s">
        <v>140</v>
      </c>
      <c r="G34" s="172" t="s">
        <v>221</v>
      </c>
      <c r="H34" s="172" t="s">
        <v>140</v>
      </c>
      <c r="I34" s="172" t="s">
        <v>278</v>
      </c>
      <c r="J34" s="172" t="s">
        <v>157</v>
      </c>
      <c r="K34" s="172" t="s">
        <v>315</v>
      </c>
      <c r="L34" s="174" t="s">
        <v>145</v>
      </c>
      <c r="M34" s="174" t="s">
        <v>316</v>
      </c>
      <c r="N34" s="172" t="s">
        <v>97</v>
      </c>
      <c r="O34" s="172" t="s">
        <v>140</v>
      </c>
      <c r="P34" s="172" t="s">
        <v>183</v>
      </c>
      <c r="Q34" s="172" t="s">
        <v>176</v>
      </c>
      <c r="R34" s="172" t="s">
        <v>97</v>
      </c>
      <c r="S34" s="172" t="s">
        <v>310</v>
      </c>
      <c r="T34" s="172" t="s">
        <v>302</v>
      </c>
      <c r="U34" s="175" t="s">
        <v>140</v>
      </c>
      <c r="V34" s="166"/>
      <c r="W34" s="166"/>
      <c r="X34" s="166"/>
      <c r="Y34" s="166"/>
      <c r="Z34" s="166"/>
    </row>
    <row r="35">
      <c r="A35" s="176">
        <v>121</v>
      </c>
      <c r="B35" s="177" t="s">
        <v>317</v>
      </c>
      <c r="C35" s="176" t="s">
        <v>210</v>
      </c>
      <c r="D35" s="176" t="s">
        <v>211</v>
      </c>
      <c r="E35" s="176" t="s">
        <v>174</v>
      </c>
      <c r="F35" s="176" t="s">
        <v>97</v>
      </c>
      <c r="G35" s="176" t="s">
        <v>144</v>
      </c>
      <c r="H35" s="176" t="s">
        <v>97</v>
      </c>
      <c r="I35" s="176" t="s">
        <v>174</v>
      </c>
      <c r="J35" s="176" t="s">
        <v>318</v>
      </c>
      <c r="K35" s="176" t="s">
        <v>155</v>
      </c>
      <c r="L35" s="178" t="s">
        <v>319</v>
      </c>
      <c r="M35" s="178" t="s">
        <v>320</v>
      </c>
      <c r="N35" s="176" t="s">
        <v>97</v>
      </c>
      <c r="O35" s="176" t="s">
        <v>97</v>
      </c>
      <c r="P35" s="176" t="s">
        <v>96</v>
      </c>
      <c r="Q35" s="176" t="s">
        <v>115</v>
      </c>
      <c r="R35" s="176" t="s">
        <v>97</v>
      </c>
      <c r="S35" s="176" t="s">
        <v>158</v>
      </c>
      <c r="T35" s="176" t="s">
        <v>244</v>
      </c>
      <c r="U35" s="179" t="s">
        <v>321</v>
      </c>
      <c r="V35" s="166"/>
      <c r="W35" s="166"/>
      <c r="X35" s="166"/>
      <c r="Y35" s="166"/>
      <c r="Z35" s="166"/>
    </row>
    <row r="36">
      <c r="A36" s="172">
        <v>120</v>
      </c>
      <c r="B36" s="173" t="s">
        <v>322</v>
      </c>
      <c r="C36" s="172" t="s">
        <v>215</v>
      </c>
      <c r="D36" s="172" t="s">
        <v>216</v>
      </c>
      <c r="E36" s="172" t="s">
        <v>96</v>
      </c>
      <c r="F36" s="172" t="s">
        <v>97</v>
      </c>
      <c r="G36" s="172" t="s">
        <v>100</v>
      </c>
      <c r="H36" s="172" t="s">
        <v>97</v>
      </c>
      <c r="I36" s="172" t="s">
        <v>96</v>
      </c>
      <c r="J36" s="172" t="s">
        <v>123</v>
      </c>
      <c r="K36" s="172" t="s">
        <v>182</v>
      </c>
      <c r="L36" s="174" t="s">
        <v>323</v>
      </c>
      <c r="M36" s="174" t="s">
        <v>324</v>
      </c>
      <c r="N36" s="172" t="s">
        <v>97</v>
      </c>
      <c r="O36" s="172" t="s">
        <v>97</v>
      </c>
      <c r="P36" s="172" t="s">
        <v>118</v>
      </c>
      <c r="Q36" s="172" t="s">
        <v>115</v>
      </c>
      <c r="R36" s="172" t="s">
        <v>97</v>
      </c>
      <c r="S36" s="172" t="s">
        <v>128</v>
      </c>
      <c r="T36" s="172" t="s">
        <v>249</v>
      </c>
      <c r="U36" s="175" t="s">
        <v>176</v>
      </c>
      <c r="V36" s="166"/>
      <c r="W36" s="166"/>
      <c r="X36" s="166"/>
      <c r="Y36" s="166"/>
      <c r="Z36" s="166"/>
    </row>
    <row r="37">
      <c r="A37" s="176">
        <v>119</v>
      </c>
      <c r="B37" s="177" t="s">
        <v>325</v>
      </c>
      <c r="C37" s="176" t="s">
        <v>215</v>
      </c>
      <c r="D37" s="176" t="s">
        <v>216</v>
      </c>
      <c r="E37" s="176" t="s">
        <v>96</v>
      </c>
      <c r="F37" s="176" t="s">
        <v>97</v>
      </c>
      <c r="G37" s="176" t="s">
        <v>326</v>
      </c>
      <c r="H37" s="176" t="s">
        <v>97</v>
      </c>
      <c r="I37" s="176" t="s">
        <v>96</v>
      </c>
      <c r="J37" s="176" t="s">
        <v>327</v>
      </c>
      <c r="K37" s="176" t="s">
        <v>326</v>
      </c>
      <c r="L37" s="178" t="s">
        <v>323</v>
      </c>
      <c r="M37" s="178" t="s">
        <v>324</v>
      </c>
      <c r="N37" s="176" t="s">
        <v>97</v>
      </c>
      <c r="O37" s="176" t="s">
        <v>97</v>
      </c>
      <c r="P37" s="176" t="s">
        <v>118</v>
      </c>
      <c r="Q37" s="176" t="s">
        <v>115</v>
      </c>
      <c r="R37" s="176" t="s">
        <v>97</v>
      </c>
      <c r="S37" s="176" t="s">
        <v>328</v>
      </c>
      <c r="T37" s="176" t="s">
        <v>129</v>
      </c>
      <c r="U37" s="179" t="s">
        <v>118</v>
      </c>
      <c r="V37" s="166"/>
      <c r="W37" s="166"/>
      <c r="X37" s="166"/>
      <c r="Y37" s="166"/>
      <c r="Z37" s="166"/>
    </row>
    <row r="38">
      <c r="A38" s="172">
        <v>118</v>
      </c>
      <c r="B38" s="173" t="s">
        <v>329</v>
      </c>
      <c r="C38" s="172" t="s">
        <v>330</v>
      </c>
      <c r="D38" s="172" t="s">
        <v>142</v>
      </c>
      <c r="E38" s="172" t="s">
        <v>118</v>
      </c>
      <c r="F38" s="172" t="s">
        <v>97</v>
      </c>
      <c r="G38" s="172" t="s">
        <v>98</v>
      </c>
      <c r="H38" s="172" t="s">
        <v>97</v>
      </c>
      <c r="I38" s="172" t="s">
        <v>118</v>
      </c>
      <c r="J38" s="172" t="s">
        <v>182</v>
      </c>
      <c r="K38" s="172" t="s">
        <v>97</v>
      </c>
      <c r="L38" s="174" t="s">
        <v>331</v>
      </c>
      <c r="M38" s="174" t="s">
        <v>332</v>
      </c>
      <c r="N38" s="172" t="s">
        <v>97</v>
      </c>
      <c r="O38" s="172" t="s">
        <v>97</v>
      </c>
      <c r="P38" s="172" t="s">
        <v>118</v>
      </c>
      <c r="Q38" s="172" t="s">
        <v>97</v>
      </c>
      <c r="R38" s="172" t="s">
        <v>97</v>
      </c>
      <c r="S38" s="172" t="s">
        <v>109</v>
      </c>
      <c r="T38" s="172" t="s">
        <v>302</v>
      </c>
      <c r="U38" s="175" t="s">
        <v>97</v>
      </c>
      <c r="V38" s="166"/>
      <c r="W38" s="166"/>
      <c r="X38" s="166"/>
      <c r="Y38" s="166"/>
      <c r="Z38" s="166"/>
    </row>
    <row r="39">
      <c r="A39" s="176">
        <v>117</v>
      </c>
      <c r="B39" s="177" t="s">
        <v>333</v>
      </c>
      <c r="C39" s="176" t="s">
        <v>178</v>
      </c>
      <c r="D39" s="176" t="s">
        <v>179</v>
      </c>
      <c r="E39" s="176" t="s">
        <v>160</v>
      </c>
      <c r="F39" s="176" t="s">
        <v>97</v>
      </c>
      <c r="G39" s="176" t="s">
        <v>326</v>
      </c>
      <c r="H39" s="176" t="s">
        <v>97</v>
      </c>
      <c r="I39" s="176" t="s">
        <v>160</v>
      </c>
      <c r="J39" s="176" t="s">
        <v>334</v>
      </c>
      <c r="K39" s="176" t="s">
        <v>335</v>
      </c>
      <c r="L39" s="178" t="s">
        <v>336</v>
      </c>
      <c r="M39" s="178" t="s">
        <v>337</v>
      </c>
      <c r="N39" s="176" t="s">
        <v>97</v>
      </c>
      <c r="O39" s="176" t="s">
        <v>97</v>
      </c>
      <c r="P39" s="176" t="s">
        <v>160</v>
      </c>
      <c r="Q39" s="176" t="s">
        <v>97</v>
      </c>
      <c r="R39" s="176" t="s">
        <v>97</v>
      </c>
      <c r="S39" s="176" t="s">
        <v>187</v>
      </c>
      <c r="T39" s="176" t="s">
        <v>124</v>
      </c>
      <c r="U39" s="179" t="s">
        <v>97</v>
      </c>
      <c r="V39" s="166"/>
      <c r="W39" s="166"/>
      <c r="X39" s="166"/>
      <c r="Y39" s="166"/>
      <c r="Z39" s="166"/>
    </row>
    <row r="40">
      <c r="A40" s="172">
        <v>116</v>
      </c>
      <c r="B40" s="173" t="s">
        <v>338</v>
      </c>
      <c r="C40" s="172" t="s">
        <v>210</v>
      </c>
      <c r="D40" s="172" t="s">
        <v>211</v>
      </c>
      <c r="E40" s="172" t="s">
        <v>160</v>
      </c>
      <c r="F40" s="172" t="s">
        <v>97</v>
      </c>
      <c r="G40" s="172" t="s">
        <v>144</v>
      </c>
      <c r="H40" s="172" t="s">
        <v>97</v>
      </c>
      <c r="I40" s="172" t="s">
        <v>160</v>
      </c>
      <c r="J40" s="172" t="s">
        <v>98</v>
      </c>
      <c r="K40" s="172" t="s">
        <v>162</v>
      </c>
      <c r="L40" s="174" t="s">
        <v>171</v>
      </c>
      <c r="M40" s="174" t="s">
        <v>339</v>
      </c>
      <c r="N40" s="172" t="s">
        <v>97</v>
      </c>
      <c r="O40" s="172" t="s">
        <v>97</v>
      </c>
      <c r="P40" s="172" t="s">
        <v>212</v>
      </c>
      <c r="Q40" s="172" t="s">
        <v>115</v>
      </c>
      <c r="R40" s="172" t="s">
        <v>97</v>
      </c>
      <c r="S40" s="172" t="s">
        <v>308</v>
      </c>
      <c r="T40" s="172" t="s">
        <v>187</v>
      </c>
      <c r="U40" s="175" t="s">
        <v>97</v>
      </c>
      <c r="V40" s="166"/>
      <c r="W40" s="166"/>
      <c r="X40" s="166"/>
      <c r="Y40" s="166"/>
      <c r="Z40" s="166"/>
    </row>
    <row r="41">
      <c r="A41" s="176">
        <v>115</v>
      </c>
      <c r="B41" s="177" t="s">
        <v>340</v>
      </c>
      <c r="C41" s="176" t="s">
        <v>210</v>
      </c>
      <c r="D41" s="176" t="s">
        <v>211</v>
      </c>
      <c r="E41" s="176" t="s">
        <v>174</v>
      </c>
      <c r="F41" s="176" t="s">
        <v>97</v>
      </c>
      <c r="G41" s="176" t="s">
        <v>206</v>
      </c>
      <c r="H41" s="176" t="s">
        <v>97</v>
      </c>
      <c r="I41" s="176" t="s">
        <v>174</v>
      </c>
      <c r="J41" s="176" t="s">
        <v>341</v>
      </c>
      <c r="K41" s="176" t="s">
        <v>129</v>
      </c>
      <c r="L41" s="178" t="s">
        <v>265</v>
      </c>
      <c r="M41" s="178" t="s">
        <v>126</v>
      </c>
      <c r="N41" s="176" t="s">
        <v>97</v>
      </c>
      <c r="O41" s="176" t="s">
        <v>97</v>
      </c>
      <c r="P41" s="176" t="s">
        <v>96</v>
      </c>
      <c r="Q41" s="176" t="s">
        <v>115</v>
      </c>
      <c r="R41" s="176" t="s">
        <v>97</v>
      </c>
      <c r="S41" s="176" t="s">
        <v>302</v>
      </c>
      <c r="T41" s="176" t="s">
        <v>193</v>
      </c>
      <c r="U41" s="179" t="s">
        <v>238</v>
      </c>
      <c r="V41" s="166"/>
      <c r="W41" s="166"/>
      <c r="X41" s="166"/>
      <c r="Y41" s="166"/>
      <c r="Z41" s="166"/>
    </row>
    <row r="42">
      <c r="A42" s="172">
        <v>114</v>
      </c>
      <c r="B42" s="173" t="s">
        <v>342</v>
      </c>
      <c r="C42" s="172" t="s">
        <v>210</v>
      </c>
      <c r="D42" s="172" t="s">
        <v>211</v>
      </c>
      <c r="E42" s="172" t="s">
        <v>117</v>
      </c>
      <c r="F42" s="172" t="s">
        <v>97</v>
      </c>
      <c r="G42" s="172" t="s">
        <v>285</v>
      </c>
      <c r="H42" s="172" t="s">
        <v>97</v>
      </c>
      <c r="I42" s="172" t="s">
        <v>117</v>
      </c>
      <c r="J42" s="172" t="s">
        <v>251</v>
      </c>
      <c r="K42" s="172" t="s">
        <v>343</v>
      </c>
      <c r="L42" s="174" t="s">
        <v>101</v>
      </c>
      <c r="M42" s="174" t="s">
        <v>344</v>
      </c>
      <c r="N42" s="172" t="s">
        <v>97</v>
      </c>
      <c r="O42" s="172" t="s">
        <v>97</v>
      </c>
      <c r="P42" s="172" t="s">
        <v>174</v>
      </c>
      <c r="Q42" s="172" t="s">
        <v>114</v>
      </c>
      <c r="R42" s="172" t="s">
        <v>97</v>
      </c>
      <c r="S42" s="172" t="s">
        <v>198</v>
      </c>
      <c r="T42" s="172" t="s">
        <v>313</v>
      </c>
      <c r="U42" s="175" t="s">
        <v>117</v>
      </c>
      <c r="V42" s="166"/>
      <c r="W42" s="166"/>
      <c r="X42" s="166"/>
      <c r="Y42" s="166"/>
      <c r="Z42" s="166"/>
    </row>
    <row r="43">
      <c r="A43" s="176">
        <v>113</v>
      </c>
      <c r="B43" s="177" t="s">
        <v>345</v>
      </c>
      <c r="C43" s="176" t="s">
        <v>274</v>
      </c>
      <c r="D43" s="176" t="s">
        <v>304</v>
      </c>
      <c r="E43" s="176" t="s">
        <v>174</v>
      </c>
      <c r="F43" s="176" t="s">
        <v>97</v>
      </c>
      <c r="G43" s="176" t="s">
        <v>326</v>
      </c>
      <c r="H43" s="176" t="s">
        <v>97</v>
      </c>
      <c r="I43" s="176" t="s">
        <v>174</v>
      </c>
      <c r="J43" s="176" t="s">
        <v>207</v>
      </c>
      <c r="K43" s="176" t="s">
        <v>228</v>
      </c>
      <c r="L43" s="178" t="s">
        <v>300</v>
      </c>
      <c r="M43" s="178" t="s">
        <v>346</v>
      </c>
      <c r="N43" s="176" t="s">
        <v>97</v>
      </c>
      <c r="O43" s="176" t="s">
        <v>97</v>
      </c>
      <c r="P43" s="176" t="s">
        <v>96</v>
      </c>
      <c r="Q43" s="176" t="s">
        <v>115</v>
      </c>
      <c r="R43" s="176" t="s">
        <v>97</v>
      </c>
      <c r="S43" s="176" t="s">
        <v>129</v>
      </c>
      <c r="T43" s="176" t="s">
        <v>347</v>
      </c>
      <c r="U43" s="179" t="s">
        <v>249</v>
      </c>
      <c r="V43" s="166"/>
      <c r="W43" s="166"/>
      <c r="X43" s="166"/>
      <c r="Y43" s="166"/>
      <c r="Z43" s="166"/>
    </row>
    <row r="44">
      <c r="A44" s="172">
        <v>112</v>
      </c>
      <c r="B44" s="173" t="s">
        <v>348</v>
      </c>
      <c r="C44" s="172" t="s">
        <v>349</v>
      </c>
      <c r="D44" s="172" t="s">
        <v>150</v>
      </c>
      <c r="E44" s="172" t="s">
        <v>176</v>
      </c>
      <c r="F44" s="172" t="s">
        <v>97</v>
      </c>
      <c r="G44" s="172" t="s">
        <v>326</v>
      </c>
      <c r="H44" s="172" t="s">
        <v>97</v>
      </c>
      <c r="I44" s="172" t="s">
        <v>176</v>
      </c>
      <c r="J44" s="172" t="s">
        <v>306</v>
      </c>
      <c r="K44" s="172" t="s">
        <v>188</v>
      </c>
      <c r="L44" s="174" t="s">
        <v>101</v>
      </c>
      <c r="M44" s="174" t="s">
        <v>135</v>
      </c>
      <c r="N44" s="172" t="s">
        <v>97</v>
      </c>
      <c r="O44" s="172" t="s">
        <v>97</v>
      </c>
      <c r="P44" s="172" t="s">
        <v>160</v>
      </c>
      <c r="Q44" s="172" t="s">
        <v>115</v>
      </c>
      <c r="R44" s="172" t="s">
        <v>97</v>
      </c>
      <c r="S44" s="172" t="s">
        <v>183</v>
      </c>
      <c r="T44" s="172" t="s">
        <v>350</v>
      </c>
      <c r="U44" s="175" t="s">
        <v>97</v>
      </c>
      <c r="V44" s="166"/>
      <c r="W44" s="166"/>
      <c r="X44" s="166"/>
      <c r="Y44" s="166"/>
      <c r="Z44" s="166"/>
    </row>
    <row r="45">
      <c r="A45" s="176">
        <v>111</v>
      </c>
      <c r="B45" s="177" t="s">
        <v>351</v>
      </c>
      <c r="C45" s="176" t="s">
        <v>94</v>
      </c>
      <c r="D45" s="176" t="s">
        <v>150</v>
      </c>
      <c r="E45" s="176" t="s">
        <v>174</v>
      </c>
      <c r="F45" s="176" t="s">
        <v>140</v>
      </c>
      <c r="G45" s="176" t="s">
        <v>118</v>
      </c>
      <c r="H45" s="176" t="s">
        <v>140</v>
      </c>
      <c r="I45" s="176" t="s">
        <v>160</v>
      </c>
      <c r="J45" s="176" t="s">
        <v>188</v>
      </c>
      <c r="K45" s="176" t="s">
        <v>162</v>
      </c>
      <c r="L45" s="178"/>
      <c r="M45" s="178"/>
      <c r="N45" s="176" t="s">
        <v>97</v>
      </c>
      <c r="O45" s="176" t="s">
        <v>140</v>
      </c>
      <c r="P45" s="176" t="s">
        <v>96</v>
      </c>
      <c r="Q45" s="176" t="s">
        <v>140</v>
      </c>
      <c r="R45" s="176" t="s">
        <v>97</v>
      </c>
      <c r="S45" s="176" t="s">
        <v>118</v>
      </c>
      <c r="T45" s="176" t="s">
        <v>115</v>
      </c>
      <c r="U45" s="179" t="s">
        <v>97</v>
      </c>
      <c r="V45" s="166"/>
      <c r="W45" s="166"/>
      <c r="X45" s="166"/>
      <c r="Y45" s="166"/>
      <c r="Z45" s="166"/>
    </row>
    <row r="46">
      <c r="A46" s="172">
        <v>110</v>
      </c>
      <c r="B46" s="173" t="s">
        <v>352</v>
      </c>
      <c r="C46" s="172" t="s">
        <v>353</v>
      </c>
      <c r="D46" s="172" t="s">
        <v>247</v>
      </c>
      <c r="E46" s="172" t="s">
        <v>117</v>
      </c>
      <c r="F46" s="172" t="s">
        <v>97</v>
      </c>
      <c r="G46" s="172" t="s">
        <v>354</v>
      </c>
      <c r="H46" s="172" t="s">
        <v>97</v>
      </c>
      <c r="I46" s="172" t="s">
        <v>117</v>
      </c>
      <c r="J46" s="172" t="s">
        <v>304</v>
      </c>
      <c r="K46" s="172" t="s">
        <v>97</v>
      </c>
      <c r="L46" s="174"/>
      <c r="M46" s="174"/>
      <c r="N46" s="172" t="s">
        <v>97</v>
      </c>
      <c r="O46" s="172" t="s">
        <v>97</v>
      </c>
      <c r="P46" s="172" t="s">
        <v>174</v>
      </c>
      <c r="Q46" s="172" t="s">
        <v>114</v>
      </c>
      <c r="R46" s="172" t="s">
        <v>97</v>
      </c>
      <c r="S46" s="172" t="s">
        <v>160</v>
      </c>
      <c r="T46" s="172" t="s">
        <v>220</v>
      </c>
      <c r="U46" s="175" t="s">
        <v>343</v>
      </c>
      <c r="V46" s="166"/>
      <c r="W46" s="166"/>
      <c r="X46" s="166"/>
      <c r="Y46" s="166"/>
      <c r="Z46" s="166"/>
    </row>
    <row r="47">
      <c r="A47" s="176">
        <v>109</v>
      </c>
      <c r="B47" s="177" t="s">
        <v>355</v>
      </c>
      <c r="C47" s="176" t="s">
        <v>239</v>
      </c>
      <c r="D47" s="176" t="s">
        <v>108</v>
      </c>
      <c r="E47" s="176" t="s">
        <v>326</v>
      </c>
      <c r="F47" s="176" t="s">
        <v>97</v>
      </c>
      <c r="G47" s="176" t="s">
        <v>213</v>
      </c>
      <c r="H47" s="176" t="s">
        <v>97</v>
      </c>
      <c r="I47" s="176" t="s">
        <v>213</v>
      </c>
      <c r="J47" s="176" t="s">
        <v>204</v>
      </c>
      <c r="K47" s="176" t="s">
        <v>356</v>
      </c>
      <c r="L47" s="178" t="s">
        <v>145</v>
      </c>
      <c r="M47" s="178" t="s">
        <v>357</v>
      </c>
      <c r="N47" s="176" t="s">
        <v>97</v>
      </c>
      <c r="O47" s="176" t="s">
        <v>97</v>
      </c>
      <c r="P47" s="176" t="s">
        <v>97</v>
      </c>
      <c r="Q47" s="176" t="s">
        <v>97</v>
      </c>
      <c r="R47" s="176" t="s">
        <v>97</v>
      </c>
      <c r="S47" s="176" t="s">
        <v>97</v>
      </c>
      <c r="T47" s="176" t="s">
        <v>97</v>
      </c>
      <c r="U47" s="179" t="s">
        <v>97</v>
      </c>
      <c r="V47" s="166"/>
      <c r="W47" s="166"/>
      <c r="X47" s="166"/>
      <c r="Y47" s="166"/>
      <c r="Z47" s="166"/>
    </row>
    <row r="48">
      <c r="A48" s="172">
        <v>108</v>
      </c>
      <c r="B48" s="173" t="s">
        <v>358</v>
      </c>
      <c r="C48" s="172" t="s">
        <v>198</v>
      </c>
      <c r="D48" s="172" t="s">
        <v>310</v>
      </c>
      <c r="E48" s="172" t="s">
        <v>170</v>
      </c>
      <c r="F48" s="172" t="s">
        <v>97</v>
      </c>
      <c r="G48" s="172" t="s">
        <v>169</v>
      </c>
      <c r="H48" s="172" t="s">
        <v>97</v>
      </c>
      <c r="I48" s="172" t="s">
        <v>169</v>
      </c>
      <c r="J48" s="172" t="s">
        <v>359</v>
      </c>
      <c r="K48" s="172" t="s">
        <v>129</v>
      </c>
      <c r="L48" s="174" t="s">
        <v>145</v>
      </c>
      <c r="M48" s="174" t="s">
        <v>113</v>
      </c>
      <c r="N48" s="172" t="s">
        <v>97</v>
      </c>
      <c r="O48" s="172" t="s">
        <v>97</v>
      </c>
      <c r="P48" s="172" t="s">
        <v>97</v>
      </c>
      <c r="Q48" s="172" t="s">
        <v>97</v>
      </c>
      <c r="R48" s="172" t="s">
        <v>97</v>
      </c>
      <c r="S48" s="172" t="s">
        <v>97</v>
      </c>
      <c r="T48" s="172" t="s">
        <v>97</v>
      </c>
      <c r="U48" s="175" t="s">
        <v>97</v>
      </c>
      <c r="V48" s="166"/>
      <c r="W48" s="166"/>
      <c r="X48" s="166"/>
      <c r="Y48" s="166"/>
      <c r="Z48" s="166"/>
    </row>
    <row r="49">
      <c r="A49" s="176">
        <v>107</v>
      </c>
      <c r="B49" s="177" t="s">
        <v>360</v>
      </c>
      <c r="C49" s="176" t="s">
        <v>131</v>
      </c>
      <c r="D49" s="176" t="s">
        <v>132</v>
      </c>
      <c r="E49" s="176" t="s">
        <v>206</v>
      </c>
      <c r="F49" s="176" t="s">
        <v>140</v>
      </c>
      <c r="G49" s="176" t="s">
        <v>118</v>
      </c>
      <c r="H49" s="176" t="s">
        <v>140</v>
      </c>
      <c r="I49" s="176" t="s">
        <v>285</v>
      </c>
      <c r="J49" s="176" t="s">
        <v>117</v>
      </c>
      <c r="K49" s="176" t="s">
        <v>361</v>
      </c>
      <c r="L49" s="178" t="s">
        <v>145</v>
      </c>
      <c r="M49" s="178" t="s">
        <v>362</v>
      </c>
      <c r="N49" s="176" t="s">
        <v>97</v>
      </c>
      <c r="O49" s="176" t="s">
        <v>140</v>
      </c>
      <c r="P49" s="176" t="s">
        <v>109</v>
      </c>
      <c r="Q49" s="176" t="s">
        <v>160</v>
      </c>
      <c r="R49" s="176" t="s">
        <v>97</v>
      </c>
      <c r="S49" s="176" t="s">
        <v>118</v>
      </c>
      <c r="T49" s="176" t="s">
        <v>97</v>
      </c>
      <c r="U49" s="179" t="s">
        <v>97</v>
      </c>
      <c r="V49" s="166"/>
      <c r="W49" s="166"/>
      <c r="X49" s="166"/>
      <c r="Y49" s="166"/>
      <c r="Z49" s="166"/>
    </row>
    <row r="50">
      <c r="A50" s="172">
        <v>106</v>
      </c>
      <c r="B50" s="173" t="s">
        <v>363</v>
      </c>
      <c r="C50" s="172" t="s">
        <v>94</v>
      </c>
      <c r="D50" s="172" t="s">
        <v>95</v>
      </c>
      <c r="E50" s="172" t="s">
        <v>270</v>
      </c>
      <c r="F50" s="172" t="s">
        <v>97</v>
      </c>
      <c r="G50" s="172" t="s">
        <v>354</v>
      </c>
      <c r="H50" s="172" t="s">
        <v>97</v>
      </c>
      <c r="I50" s="172" t="s">
        <v>270</v>
      </c>
      <c r="J50" s="172" t="s">
        <v>251</v>
      </c>
      <c r="K50" s="172" t="s">
        <v>239</v>
      </c>
      <c r="L50" s="174" t="s">
        <v>286</v>
      </c>
      <c r="M50" s="174" t="s">
        <v>364</v>
      </c>
      <c r="N50" s="172" t="s">
        <v>97</v>
      </c>
      <c r="O50" s="172" t="s">
        <v>97</v>
      </c>
      <c r="P50" s="172" t="s">
        <v>117</v>
      </c>
      <c r="Q50" s="172" t="s">
        <v>174</v>
      </c>
      <c r="R50" s="172" t="s">
        <v>97</v>
      </c>
      <c r="S50" s="172" t="s">
        <v>122</v>
      </c>
      <c r="T50" s="172" t="s">
        <v>213</v>
      </c>
      <c r="U50" s="175" t="s">
        <v>97</v>
      </c>
      <c r="V50" s="166"/>
      <c r="W50" s="166"/>
      <c r="X50" s="166"/>
      <c r="Y50" s="166"/>
      <c r="Z50" s="166"/>
    </row>
    <row r="51">
      <c r="A51" s="176">
        <v>105</v>
      </c>
      <c r="B51" s="177" t="s">
        <v>30</v>
      </c>
      <c r="C51" s="176" t="s">
        <v>197</v>
      </c>
      <c r="D51" s="176" t="s">
        <v>365</v>
      </c>
      <c r="E51" s="176">
        <v>9.3900000000000006</v>
      </c>
      <c r="F51" s="176" t="s">
        <v>239</v>
      </c>
      <c r="G51" s="176">
        <v>7.7460000000000004</v>
      </c>
      <c r="H51" s="176" t="s">
        <v>239</v>
      </c>
      <c r="I51" s="176" t="s">
        <v>129</v>
      </c>
      <c r="J51" s="176">
        <v>9</v>
      </c>
      <c r="K51" s="176">
        <v>248</v>
      </c>
      <c r="L51" s="178" t="s">
        <v>134</v>
      </c>
      <c r="M51" s="178" t="s">
        <v>366</v>
      </c>
      <c r="N51" s="176" t="s">
        <v>284</v>
      </c>
      <c r="O51" s="176" t="s">
        <v>270</v>
      </c>
      <c r="P51" s="176" t="s">
        <v>176</v>
      </c>
      <c r="Q51" s="176" t="s">
        <v>114</v>
      </c>
      <c r="R51" s="176" t="s">
        <v>97</v>
      </c>
      <c r="S51" s="176" t="s">
        <v>174</v>
      </c>
      <c r="T51" s="176" t="s">
        <v>115</v>
      </c>
      <c r="U51" s="179" t="s">
        <v>97</v>
      </c>
      <c r="V51" s="166">
        <v>14.462</v>
      </c>
      <c r="W51" s="166">
        <v>13.326000000000001</v>
      </c>
      <c r="X51" s="166">
        <v>9.5600000000000005</v>
      </c>
      <c r="Y51" s="166">
        <v>11.204000000000001</v>
      </c>
      <c r="Z51" s="166">
        <v>11.880000000000001</v>
      </c>
    </row>
    <row r="52">
      <c r="A52" s="172">
        <v>104</v>
      </c>
      <c r="B52" s="173" t="s">
        <v>367</v>
      </c>
      <c r="C52" s="172" t="s">
        <v>368</v>
      </c>
      <c r="D52" s="172" t="s">
        <v>369</v>
      </c>
      <c r="E52" s="172" t="s">
        <v>99</v>
      </c>
      <c r="F52" s="172" t="s">
        <v>99</v>
      </c>
      <c r="G52" s="172" t="s">
        <v>97</v>
      </c>
      <c r="H52" s="172" t="s">
        <v>99</v>
      </c>
      <c r="I52" s="172" t="s">
        <v>97</v>
      </c>
      <c r="J52" s="172" t="s">
        <v>140</v>
      </c>
      <c r="K52" s="172" t="s">
        <v>370</v>
      </c>
      <c r="L52" s="174" t="s">
        <v>134</v>
      </c>
      <c r="M52" s="174" t="s">
        <v>366</v>
      </c>
      <c r="N52" s="172" t="s">
        <v>115</v>
      </c>
      <c r="O52" s="172" t="s">
        <v>140</v>
      </c>
      <c r="P52" s="172" t="s">
        <v>97</v>
      </c>
      <c r="Q52" s="172" t="s">
        <v>97</v>
      </c>
      <c r="R52" s="172" t="s">
        <v>97</v>
      </c>
      <c r="S52" s="172" t="s">
        <v>97</v>
      </c>
      <c r="T52" s="172" t="s">
        <v>97</v>
      </c>
      <c r="U52" s="175" t="s">
        <v>97</v>
      </c>
      <c r="V52" s="166"/>
      <c r="W52" s="166"/>
      <c r="X52" s="166"/>
      <c r="Y52" s="166"/>
      <c r="Z52" s="166"/>
    </row>
    <row r="53">
      <c r="A53" s="176">
        <v>103</v>
      </c>
      <c r="B53" s="177" t="s">
        <v>371</v>
      </c>
      <c r="C53" s="176" t="s">
        <v>197</v>
      </c>
      <c r="D53" s="176" t="s">
        <v>365</v>
      </c>
      <c r="E53" s="176" t="s">
        <v>224</v>
      </c>
      <c r="F53" s="176" t="s">
        <v>239</v>
      </c>
      <c r="G53" s="176" t="s">
        <v>204</v>
      </c>
      <c r="H53" s="176" t="s">
        <v>239</v>
      </c>
      <c r="I53" s="176" t="s">
        <v>129</v>
      </c>
      <c r="J53" s="176" t="s">
        <v>114</v>
      </c>
      <c r="K53" s="176" t="s">
        <v>372</v>
      </c>
      <c r="L53" s="178" t="s">
        <v>134</v>
      </c>
      <c r="M53" s="178" t="s">
        <v>366</v>
      </c>
      <c r="N53" s="176" t="s">
        <v>284</v>
      </c>
      <c r="O53" s="176" t="s">
        <v>270</v>
      </c>
      <c r="P53" s="176" t="s">
        <v>176</v>
      </c>
      <c r="Q53" s="176" t="s">
        <v>114</v>
      </c>
      <c r="R53" s="176" t="s">
        <v>97</v>
      </c>
      <c r="S53" s="176" t="s">
        <v>174</v>
      </c>
      <c r="T53" s="176" t="s">
        <v>115</v>
      </c>
      <c r="U53" s="179" t="s">
        <v>97</v>
      </c>
      <c r="V53" s="166"/>
      <c r="W53" s="166"/>
      <c r="X53" s="166"/>
      <c r="Y53" s="166"/>
      <c r="Z53" s="166"/>
    </row>
    <row r="54">
      <c r="A54" s="172">
        <v>102</v>
      </c>
      <c r="B54" s="173" t="s">
        <v>373</v>
      </c>
      <c r="C54" s="172" t="s">
        <v>374</v>
      </c>
      <c r="D54" s="172" t="s">
        <v>375</v>
      </c>
      <c r="E54" s="172" t="s">
        <v>124</v>
      </c>
      <c r="F54" s="172" t="s">
        <v>350</v>
      </c>
      <c r="G54" s="172" t="s">
        <v>249</v>
      </c>
      <c r="H54" s="172" t="s">
        <v>350</v>
      </c>
      <c r="I54" s="172" t="s">
        <v>117</v>
      </c>
      <c r="J54" s="172" t="s">
        <v>203</v>
      </c>
      <c r="K54" s="172" t="s">
        <v>230</v>
      </c>
      <c r="L54" s="174" t="s">
        <v>134</v>
      </c>
      <c r="M54" s="174" t="s">
        <v>376</v>
      </c>
      <c r="N54" s="172" t="s">
        <v>175</v>
      </c>
      <c r="O54" s="172" t="s">
        <v>302</v>
      </c>
      <c r="P54" s="172" t="s">
        <v>174</v>
      </c>
      <c r="Q54" s="172" t="s">
        <v>114</v>
      </c>
      <c r="R54" s="172" t="s">
        <v>97</v>
      </c>
      <c r="S54" s="172" t="s">
        <v>116</v>
      </c>
      <c r="T54" s="172" t="s">
        <v>114</v>
      </c>
      <c r="U54" s="175" t="s">
        <v>97</v>
      </c>
      <c r="V54" s="166"/>
      <c r="W54" s="166"/>
      <c r="X54" s="166"/>
      <c r="Y54" s="166"/>
      <c r="Z54" s="166"/>
    </row>
    <row r="55">
      <c r="A55" s="176">
        <v>101</v>
      </c>
      <c r="B55" s="177" t="s">
        <v>377</v>
      </c>
      <c r="C55" s="176" t="s">
        <v>240</v>
      </c>
      <c r="D55" s="176" t="s">
        <v>230</v>
      </c>
      <c r="E55" s="176" t="s">
        <v>212</v>
      </c>
      <c r="F55" s="176" t="s">
        <v>97</v>
      </c>
      <c r="G55" s="176" t="s">
        <v>190</v>
      </c>
      <c r="H55" s="176" t="s">
        <v>97</v>
      </c>
      <c r="I55" s="176" t="s">
        <v>140</v>
      </c>
      <c r="J55" s="176" t="s">
        <v>359</v>
      </c>
      <c r="K55" s="176" t="s">
        <v>378</v>
      </c>
      <c r="L55" s="178" t="s">
        <v>101</v>
      </c>
      <c r="M55" s="178" t="s">
        <v>379</v>
      </c>
      <c r="N55" s="176" t="s">
        <v>97</v>
      </c>
      <c r="O55" s="176" t="s">
        <v>97</v>
      </c>
      <c r="P55" s="176" t="s">
        <v>97</v>
      </c>
      <c r="Q55" s="176" t="s">
        <v>97</v>
      </c>
      <c r="R55" s="176" t="s">
        <v>97</v>
      </c>
      <c r="S55" s="176" t="s">
        <v>223</v>
      </c>
      <c r="T55" s="176" t="s">
        <v>302</v>
      </c>
      <c r="U55" s="179" t="s">
        <v>176</v>
      </c>
      <c r="V55" s="166"/>
      <c r="W55" s="166"/>
      <c r="X55" s="166"/>
      <c r="Y55" s="166"/>
      <c r="Z55" s="166"/>
    </row>
    <row r="56">
      <c r="A56" s="172">
        <v>100</v>
      </c>
      <c r="B56" s="173" t="s">
        <v>380</v>
      </c>
      <c r="C56" s="172" t="s">
        <v>120</v>
      </c>
      <c r="D56" s="172" t="s">
        <v>121</v>
      </c>
      <c r="E56" s="172" t="s">
        <v>116</v>
      </c>
      <c r="F56" s="172" t="s">
        <v>97</v>
      </c>
      <c r="G56" s="172" t="s">
        <v>180</v>
      </c>
      <c r="H56" s="172" t="s">
        <v>97</v>
      </c>
      <c r="I56" s="172" t="s">
        <v>116</v>
      </c>
      <c r="J56" s="172" t="s">
        <v>240</v>
      </c>
      <c r="K56" s="172" t="s">
        <v>381</v>
      </c>
      <c r="L56" s="174" t="s">
        <v>382</v>
      </c>
      <c r="M56" s="174" t="s">
        <v>383</v>
      </c>
      <c r="N56" s="172" t="s">
        <v>97</v>
      </c>
      <c r="O56" s="172" t="s">
        <v>97</v>
      </c>
      <c r="P56" s="172" t="s">
        <v>117</v>
      </c>
      <c r="Q56" s="172" t="s">
        <v>160</v>
      </c>
      <c r="R56" s="172" t="s">
        <v>97</v>
      </c>
      <c r="S56" s="172" t="s">
        <v>223</v>
      </c>
      <c r="T56" s="172" t="s">
        <v>350</v>
      </c>
      <c r="U56" s="175" t="s">
        <v>140</v>
      </c>
      <c r="V56" s="166"/>
      <c r="W56" s="166"/>
      <c r="X56" s="166"/>
      <c r="Y56" s="166"/>
      <c r="Z56" s="166"/>
    </row>
    <row r="57">
      <c r="A57" s="176">
        <v>99</v>
      </c>
      <c r="B57" s="177" t="s">
        <v>384</v>
      </c>
      <c r="C57" s="176" t="s">
        <v>197</v>
      </c>
      <c r="D57" s="176" t="s">
        <v>365</v>
      </c>
      <c r="E57" s="176" t="s">
        <v>224</v>
      </c>
      <c r="F57" s="176" t="s">
        <v>239</v>
      </c>
      <c r="G57" s="176" t="s">
        <v>204</v>
      </c>
      <c r="H57" s="176" t="s">
        <v>239</v>
      </c>
      <c r="I57" s="176" t="s">
        <v>129</v>
      </c>
      <c r="J57" s="176" t="s">
        <v>204</v>
      </c>
      <c r="K57" s="176" t="s">
        <v>372</v>
      </c>
      <c r="L57" s="178" t="s">
        <v>171</v>
      </c>
      <c r="M57" s="178" t="s">
        <v>135</v>
      </c>
      <c r="N57" s="176" t="s">
        <v>284</v>
      </c>
      <c r="O57" s="176" t="s">
        <v>270</v>
      </c>
      <c r="P57" s="176" t="s">
        <v>176</v>
      </c>
      <c r="Q57" s="176" t="s">
        <v>114</v>
      </c>
      <c r="R57" s="176" t="s">
        <v>97</v>
      </c>
      <c r="S57" s="176" t="s">
        <v>174</v>
      </c>
      <c r="T57" s="176" t="s">
        <v>115</v>
      </c>
      <c r="U57" s="179" t="s">
        <v>97</v>
      </c>
      <c r="V57" s="166"/>
      <c r="W57" s="166"/>
      <c r="X57" s="166"/>
      <c r="Y57" s="166"/>
      <c r="Z57" s="166"/>
    </row>
    <row r="58">
      <c r="A58" s="172">
        <v>98</v>
      </c>
      <c r="B58" s="173" t="s">
        <v>385</v>
      </c>
      <c r="C58" s="172" t="s">
        <v>274</v>
      </c>
      <c r="D58" s="172" t="s">
        <v>275</v>
      </c>
      <c r="E58" s="172" t="s">
        <v>183</v>
      </c>
      <c r="F58" s="172" t="s">
        <v>97</v>
      </c>
      <c r="G58" s="172" t="s">
        <v>164</v>
      </c>
      <c r="H58" s="172" t="s">
        <v>97</v>
      </c>
      <c r="I58" s="172" t="s">
        <v>183</v>
      </c>
      <c r="J58" s="172" t="s">
        <v>386</v>
      </c>
      <c r="K58" s="172" t="s">
        <v>161</v>
      </c>
      <c r="L58" s="174" t="s">
        <v>101</v>
      </c>
      <c r="M58" s="174" t="s">
        <v>135</v>
      </c>
      <c r="N58" s="172" t="s">
        <v>97</v>
      </c>
      <c r="O58" s="172" t="s">
        <v>97</v>
      </c>
      <c r="P58" s="172" t="s">
        <v>302</v>
      </c>
      <c r="Q58" s="172" t="s">
        <v>302</v>
      </c>
      <c r="R58" s="172" t="s">
        <v>97</v>
      </c>
      <c r="S58" s="172" t="s">
        <v>116</v>
      </c>
      <c r="T58" s="172" t="s">
        <v>387</v>
      </c>
      <c r="U58" s="175" t="s">
        <v>140</v>
      </c>
      <c r="V58" s="166"/>
      <c r="W58" s="166"/>
      <c r="X58" s="166"/>
      <c r="Y58" s="166"/>
      <c r="Z58" s="166"/>
    </row>
    <row r="59">
      <c r="A59" s="176">
        <v>97</v>
      </c>
      <c r="B59" s="177" t="s">
        <v>388</v>
      </c>
      <c r="C59" s="176" t="s">
        <v>210</v>
      </c>
      <c r="D59" s="176" t="s">
        <v>211</v>
      </c>
      <c r="E59" s="176" t="s">
        <v>97</v>
      </c>
      <c r="F59" s="176" t="s">
        <v>97</v>
      </c>
      <c r="G59" s="176" t="s">
        <v>97</v>
      </c>
      <c r="H59" s="176" t="s">
        <v>97</v>
      </c>
      <c r="I59" s="176" t="s">
        <v>97</v>
      </c>
      <c r="J59" s="176" t="s">
        <v>315</v>
      </c>
      <c r="K59" s="176" t="s">
        <v>170</v>
      </c>
      <c r="L59" s="178"/>
      <c r="M59" s="178"/>
      <c r="N59" s="176" t="s">
        <v>97</v>
      </c>
      <c r="O59" s="176" t="s">
        <v>97</v>
      </c>
      <c r="P59" s="176" t="s">
        <v>302</v>
      </c>
      <c r="Q59" s="176" t="s">
        <v>96</v>
      </c>
      <c r="R59" s="176" t="s">
        <v>97</v>
      </c>
      <c r="S59" s="176" t="s">
        <v>321</v>
      </c>
      <c r="T59" s="176" t="s">
        <v>221</v>
      </c>
      <c r="U59" s="179" t="s">
        <v>115</v>
      </c>
      <c r="V59" s="166"/>
      <c r="W59" s="166"/>
      <c r="X59" s="166"/>
      <c r="Y59" s="166"/>
      <c r="Z59" s="166"/>
    </row>
    <row r="60">
      <c r="A60" s="172">
        <v>96</v>
      </c>
      <c r="B60" s="173" t="s">
        <v>389</v>
      </c>
      <c r="C60" s="172" t="s">
        <v>178</v>
      </c>
      <c r="D60" s="172" t="s">
        <v>179</v>
      </c>
      <c r="E60" s="172" t="s">
        <v>390</v>
      </c>
      <c r="F60" s="172" t="s">
        <v>97</v>
      </c>
      <c r="G60" s="172" t="s">
        <v>310</v>
      </c>
      <c r="H60" s="172" t="s">
        <v>97</v>
      </c>
      <c r="I60" s="172" t="s">
        <v>260</v>
      </c>
      <c r="J60" s="172" t="s">
        <v>228</v>
      </c>
      <c r="K60" s="172" t="s">
        <v>131</v>
      </c>
      <c r="L60" s="174" t="s">
        <v>234</v>
      </c>
      <c r="M60" s="174" t="s">
        <v>391</v>
      </c>
      <c r="N60" s="172" t="s">
        <v>97</v>
      </c>
      <c r="O60" s="172" t="s">
        <v>97</v>
      </c>
      <c r="P60" s="172" t="s">
        <v>174</v>
      </c>
      <c r="Q60" s="172" t="s">
        <v>278</v>
      </c>
      <c r="R60" s="172" t="s">
        <v>97</v>
      </c>
      <c r="S60" s="172" t="s">
        <v>392</v>
      </c>
      <c r="T60" s="172" t="s">
        <v>115</v>
      </c>
      <c r="U60" s="175" t="s">
        <v>97</v>
      </c>
      <c r="V60" s="166"/>
      <c r="W60" s="166"/>
      <c r="X60" s="166"/>
      <c r="Y60" s="166"/>
      <c r="Z60" s="166"/>
    </row>
    <row r="61">
      <c r="A61" s="176">
        <v>95</v>
      </c>
      <c r="B61" s="177" t="s">
        <v>393</v>
      </c>
      <c r="C61" s="176" t="s">
        <v>210</v>
      </c>
      <c r="D61" s="176" t="s">
        <v>211</v>
      </c>
      <c r="E61" s="176" t="s">
        <v>321</v>
      </c>
      <c r="F61" s="176" t="s">
        <v>97</v>
      </c>
      <c r="G61" s="176" t="s">
        <v>257</v>
      </c>
      <c r="H61" s="176" t="s">
        <v>97</v>
      </c>
      <c r="I61" s="176" t="s">
        <v>321</v>
      </c>
      <c r="J61" s="176" t="s">
        <v>169</v>
      </c>
      <c r="K61" s="176" t="s">
        <v>251</v>
      </c>
      <c r="L61" s="178" t="s">
        <v>394</v>
      </c>
      <c r="M61" s="178" t="s">
        <v>151</v>
      </c>
      <c r="N61" s="176" t="s">
        <v>97</v>
      </c>
      <c r="O61" s="176" t="s">
        <v>97</v>
      </c>
      <c r="P61" s="176" t="s">
        <v>158</v>
      </c>
      <c r="Q61" s="176" t="s">
        <v>176</v>
      </c>
      <c r="R61" s="176" t="s">
        <v>97</v>
      </c>
      <c r="S61" s="176" t="s">
        <v>335</v>
      </c>
      <c r="T61" s="176" t="s">
        <v>174</v>
      </c>
      <c r="U61" s="179" t="s">
        <v>97</v>
      </c>
      <c r="V61" s="166"/>
      <c r="W61" s="166"/>
      <c r="X61" s="166"/>
      <c r="Y61" s="166"/>
      <c r="Z61" s="166"/>
    </row>
    <row r="62">
      <c r="A62" s="172">
        <v>1</v>
      </c>
      <c r="B62" s="173" t="s">
        <v>395</v>
      </c>
      <c r="C62" s="172" t="s">
        <v>185</v>
      </c>
      <c r="D62" s="172" t="s">
        <v>186</v>
      </c>
      <c r="E62" s="172" t="s">
        <v>223</v>
      </c>
      <c r="F62" s="172" t="s">
        <v>97</v>
      </c>
      <c r="G62" s="172" t="s">
        <v>396</v>
      </c>
      <c r="H62" s="172" t="s">
        <v>97</v>
      </c>
      <c r="I62" s="172" t="s">
        <v>223</v>
      </c>
      <c r="J62" s="172" t="s">
        <v>188</v>
      </c>
      <c r="K62" s="172" t="s">
        <v>397</v>
      </c>
      <c r="L62" s="174"/>
      <c r="M62" s="174"/>
      <c r="N62" s="172" t="s">
        <v>97</v>
      </c>
      <c r="O62" s="172" t="s">
        <v>97</v>
      </c>
      <c r="P62" s="172" t="s">
        <v>302</v>
      </c>
      <c r="Q62" s="172" t="s">
        <v>118</v>
      </c>
      <c r="R62" s="172" t="s">
        <v>97</v>
      </c>
      <c r="S62" s="172" t="s">
        <v>238</v>
      </c>
      <c r="T62" s="172" t="s">
        <v>158</v>
      </c>
      <c r="U62" s="175" t="s">
        <v>160</v>
      </c>
      <c r="V62" s="166"/>
      <c r="W62" s="166"/>
      <c r="X62" s="166"/>
      <c r="Y62" s="166"/>
      <c r="Z62" s="166"/>
    </row>
    <row r="63">
      <c r="A63" s="176">
        <v>94</v>
      </c>
      <c r="B63" s="177" t="s">
        <v>398</v>
      </c>
      <c r="C63" s="176" t="s">
        <v>120</v>
      </c>
      <c r="D63" s="176" t="s">
        <v>121</v>
      </c>
      <c r="E63" s="176" t="s">
        <v>187</v>
      </c>
      <c r="F63" s="176" t="s">
        <v>97</v>
      </c>
      <c r="G63" s="176" t="s">
        <v>232</v>
      </c>
      <c r="H63" s="176" t="s">
        <v>97</v>
      </c>
      <c r="I63" s="176" t="s">
        <v>187</v>
      </c>
      <c r="J63" s="176" t="s">
        <v>251</v>
      </c>
      <c r="K63" s="176" t="s">
        <v>347</v>
      </c>
      <c r="L63" s="178" t="s">
        <v>145</v>
      </c>
      <c r="M63" s="178" t="s">
        <v>399</v>
      </c>
      <c r="N63" s="176" t="s">
        <v>97</v>
      </c>
      <c r="O63" s="176" t="s">
        <v>97</v>
      </c>
      <c r="P63" s="176" t="s">
        <v>187</v>
      </c>
      <c r="Q63" s="176" t="s">
        <v>97</v>
      </c>
      <c r="R63" s="176" t="s">
        <v>97</v>
      </c>
      <c r="S63" s="176" t="s">
        <v>294</v>
      </c>
      <c r="T63" s="176" t="s">
        <v>378</v>
      </c>
      <c r="U63" s="179" t="s">
        <v>97</v>
      </c>
      <c r="V63" s="166"/>
      <c r="W63" s="166"/>
      <c r="X63" s="166"/>
      <c r="Y63" s="166"/>
      <c r="Z63" s="166"/>
    </row>
    <row r="64">
      <c r="A64" s="172">
        <v>93</v>
      </c>
      <c r="B64" s="173" t="s">
        <v>400</v>
      </c>
      <c r="C64" s="172" t="s">
        <v>210</v>
      </c>
      <c r="D64" s="172" t="s">
        <v>211</v>
      </c>
      <c r="E64" s="172" t="s">
        <v>160</v>
      </c>
      <c r="F64" s="172" t="s">
        <v>97</v>
      </c>
      <c r="G64" s="172" t="s">
        <v>98</v>
      </c>
      <c r="H64" s="172" t="s">
        <v>97</v>
      </c>
      <c r="I64" s="172" t="s">
        <v>160</v>
      </c>
      <c r="J64" s="172" t="s">
        <v>283</v>
      </c>
      <c r="K64" s="172" t="s">
        <v>204</v>
      </c>
      <c r="L64" s="174" t="s">
        <v>401</v>
      </c>
      <c r="M64" s="174" t="s">
        <v>402</v>
      </c>
      <c r="N64" s="172" t="s">
        <v>97</v>
      </c>
      <c r="O64" s="172" t="s">
        <v>97</v>
      </c>
      <c r="P64" s="172" t="s">
        <v>212</v>
      </c>
      <c r="Q64" s="172" t="s">
        <v>115</v>
      </c>
      <c r="R64" s="172" t="s">
        <v>97</v>
      </c>
      <c r="S64" s="172" t="s">
        <v>223</v>
      </c>
      <c r="T64" s="172" t="s">
        <v>335</v>
      </c>
      <c r="U64" s="175" t="s">
        <v>238</v>
      </c>
      <c r="V64" s="166"/>
      <c r="W64" s="166"/>
      <c r="X64" s="166"/>
      <c r="Y64" s="166"/>
      <c r="Z64" s="166"/>
    </row>
    <row r="65">
      <c r="A65" s="176">
        <v>92</v>
      </c>
      <c r="B65" s="177" t="s">
        <v>403</v>
      </c>
      <c r="C65" s="176" t="s">
        <v>240</v>
      </c>
      <c r="D65" s="176" t="s">
        <v>230</v>
      </c>
      <c r="E65" s="176" t="s">
        <v>212</v>
      </c>
      <c r="F65" s="176" t="s">
        <v>97</v>
      </c>
      <c r="G65" s="176" t="s">
        <v>190</v>
      </c>
      <c r="H65" s="176" t="s">
        <v>97</v>
      </c>
      <c r="I65" s="176" t="s">
        <v>140</v>
      </c>
      <c r="J65" s="176" t="s">
        <v>359</v>
      </c>
      <c r="K65" s="176" t="s">
        <v>378</v>
      </c>
      <c r="L65" s="178" t="s">
        <v>336</v>
      </c>
      <c r="M65" s="178" t="s">
        <v>404</v>
      </c>
      <c r="N65" s="176" t="s">
        <v>97</v>
      </c>
      <c r="O65" s="176" t="s">
        <v>97</v>
      </c>
      <c r="P65" s="176" t="s">
        <v>97</v>
      </c>
      <c r="Q65" s="176" t="s">
        <v>97</v>
      </c>
      <c r="R65" s="176" t="s">
        <v>97</v>
      </c>
      <c r="S65" s="176" t="s">
        <v>223</v>
      </c>
      <c r="T65" s="176" t="s">
        <v>302</v>
      </c>
      <c r="U65" s="179" t="s">
        <v>176</v>
      </c>
      <c r="V65" s="166"/>
      <c r="W65" s="166"/>
      <c r="X65" s="166"/>
      <c r="Y65" s="166"/>
      <c r="Z65" s="166"/>
    </row>
    <row r="66">
      <c r="A66" s="172">
        <v>91</v>
      </c>
      <c r="B66" s="173" t="s">
        <v>405</v>
      </c>
      <c r="C66" s="172" t="s">
        <v>196</v>
      </c>
      <c r="D66" s="172" t="s">
        <v>197</v>
      </c>
      <c r="E66" s="172" t="s">
        <v>302</v>
      </c>
      <c r="F66" s="172" t="s">
        <v>97</v>
      </c>
      <c r="G66" s="172" t="s">
        <v>200</v>
      </c>
      <c r="H66" s="172" t="s">
        <v>97</v>
      </c>
      <c r="I66" s="172" t="s">
        <v>302</v>
      </c>
      <c r="J66" s="172" t="s">
        <v>185</v>
      </c>
      <c r="K66" s="172" t="s">
        <v>335</v>
      </c>
      <c r="L66" s="174" t="s">
        <v>406</v>
      </c>
      <c r="M66" s="174" t="s">
        <v>407</v>
      </c>
      <c r="N66" s="172" t="s">
        <v>97</v>
      </c>
      <c r="O66" s="172" t="s">
        <v>97</v>
      </c>
      <c r="P66" s="172" t="s">
        <v>204</v>
      </c>
      <c r="Q66" s="172" t="s">
        <v>114</v>
      </c>
      <c r="R66" s="172" t="s">
        <v>97</v>
      </c>
      <c r="S66" s="172" t="s">
        <v>187</v>
      </c>
      <c r="T66" s="172" t="s">
        <v>111</v>
      </c>
      <c r="U66" s="175" t="s">
        <v>140</v>
      </c>
      <c r="V66" s="166"/>
      <c r="W66" s="166"/>
      <c r="X66" s="166"/>
      <c r="Y66" s="166"/>
      <c r="Z66" s="166"/>
    </row>
    <row r="67">
      <c r="A67" s="176">
        <v>90</v>
      </c>
      <c r="B67" s="177" t="s">
        <v>408</v>
      </c>
      <c r="C67" s="176" t="s">
        <v>196</v>
      </c>
      <c r="D67" s="176" t="s">
        <v>197</v>
      </c>
      <c r="E67" s="176" t="s">
        <v>270</v>
      </c>
      <c r="F67" s="176" t="s">
        <v>97</v>
      </c>
      <c r="G67" s="176" t="s">
        <v>124</v>
      </c>
      <c r="H67" s="176" t="s">
        <v>97</v>
      </c>
      <c r="I67" s="176" t="s">
        <v>270</v>
      </c>
      <c r="J67" s="176" t="s">
        <v>251</v>
      </c>
      <c r="K67" s="176" t="s">
        <v>221</v>
      </c>
      <c r="L67" s="178" t="s">
        <v>409</v>
      </c>
      <c r="M67" s="178" t="s">
        <v>410</v>
      </c>
      <c r="N67" s="176" t="s">
        <v>97</v>
      </c>
      <c r="O67" s="176" t="s">
        <v>97</v>
      </c>
      <c r="P67" s="176" t="s">
        <v>223</v>
      </c>
      <c r="Q67" s="176" t="s">
        <v>115</v>
      </c>
      <c r="R67" s="176" t="s">
        <v>97</v>
      </c>
      <c r="S67" s="176" t="s">
        <v>223</v>
      </c>
      <c r="T67" s="176" t="s">
        <v>221</v>
      </c>
      <c r="U67" s="179" t="s">
        <v>97</v>
      </c>
      <c r="V67" s="166"/>
      <c r="W67" s="166"/>
      <c r="X67" s="166"/>
      <c r="Y67" s="166"/>
      <c r="Z67" s="166"/>
    </row>
    <row r="68">
      <c r="A68" s="172">
        <v>89</v>
      </c>
      <c r="B68" s="173" t="s">
        <v>411</v>
      </c>
      <c r="C68" s="172" t="s">
        <v>412</v>
      </c>
      <c r="D68" s="172" t="s">
        <v>413</v>
      </c>
      <c r="E68" s="172" t="s">
        <v>257</v>
      </c>
      <c r="F68" s="172" t="s">
        <v>187</v>
      </c>
      <c r="G68" s="172" t="s">
        <v>217</v>
      </c>
      <c r="H68" s="172" t="s">
        <v>187</v>
      </c>
      <c r="I68" s="172" t="s">
        <v>155</v>
      </c>
      <c r="J68" s="172" t="s">
        <v>203</v>
      </c>
      <c r="K68" s="172" t="s">
        <v>186</v>
      </c>
      <c r="L68" s="174" t="s">
        <v>145</v>
      </c>
      <c r="M68" s="174" t="s">
        <v>414</v>
      </c>
      <c r="N68" s="172" t="s">
        <v>118</v>
      </c>
      <c r="O68" s="172" t="s">
        <v>117</v>
      </c>
      <c r="P68" s="172" t="s">
        <v>173</v>
      </c>
      <c r="Q68" s="172" t="s">
        <v>129</v>
      </c>
      <c r="R68" s="172" t="s">
        <v>97</v>
      </c>
      <c r="S68" s="172" t="s">
        <v>270</v>
      </c>
      <c r="T68" s="172" t="s">
        <v>115</v>
      </c>
      <c r="U68" s="175" t="s">
        <v>140</v>
      </c>
      <c r="V68" s="166"/>
      <c r="W68" s="166"/>
      <c r="X68" s="166"/>
      <c r="Y68" s="166"/>
      <c r="Z68" s="166"/>
    </row>
    <row r="69">
      <c r="A69" s="176">
        <v>88</v>
      </c>
      <c r="B69" s="177" t="s">
        <v>415</v>
      </c>
      <c r="C69" s="176" t="s">
        <v>260</v>
      </c>
      <c r="D69" s="176" t="s">
        <v>96</v>
      </c>
      <c r="E69" s="176" t="s">
        <v>97</v>
      </c>
      <c r="F69" s="176" t="s">
        <v>97</v>
      </c>
      <c r="G69" s="176" t="s">
        <v>97</v>
      </c>
      <c r="H69" s="176" t="s">
        <v>97</v>
      </c>
      <c r="I69" s="176" t="s">
        <v>97</v>
      </c>
      <c r="J69" s="176" t="s">
        <v>97</v>
      </c>
      <c r="K69" s="176" t="s">
        <v>97</v>
      </c>
      <c r="L69" s="178" t="s">
        <v>280</v>
      </c>
      <c r="M69" s="178" t="s">
        <v>281</v>
      </c>
      <c r="N69" s="176" t="s">
        <v>97</v>
      </c>
      <c r="O69" s="176" t="s">
        <v>97</v>
      </c>
      <c r="P69" s="176" t="s">
        <v>97</v>
      </c>
      <c r="Q69" s="176" t="s">
        <v>97</v>
      </c>
      <c r="R69" s="176" t="s">
        <v>97</v>
      </c>
      <c r="S69" s="176" t="s">
        <v>97</v>
      </c>
      <c r="T69" s="176" t="s">
        <v>97</v>
      </c>
      <c r="U69" s="179" t="s">
        <v>97</v>
      </c>
      <c r="V69" s="166"/>
      <c r="W69" s="166"/>
      <c r="X69" s="166"/>
      <c r="Y69" s="166"/>
      <c r="Z69" s="166"/>
    </row>
    <row r="70">
      <c r="A70" s="172">
        <v>87</v>
      </c>
      <c r="B70" s="173" t="s">
        <v>416</v>
      </c>
      <c r="C70" s="172" t="s">
        <v>210</v>
      </c>
      <c r="D70" s="172" t="s">
        <v>211</v>
      </c>
      <c r="E70" s="172" t="s">
        <v>96</v>
      </c>
      <c r="F70" s="172" t="s">
        <v>97</v>
      </c>
      <c r="G70" s="172" t="s">
        <v>144</v>
      </c>
      <c r="H70" s="172" t="s">
        <v>97</v>
      </c>
      <c r="I70" s="172" t="s">
        <v>96</v>
      </c>
      <c r="J70" s="172" t="s">
        <v>217</v>
      </c>
      <c r="K70" s="172" t="s">
        <v>107</v>
      </c>
      <c r="L70" s="174" t="s">
        <v>101</v>
      </c>
      <c r="M70" s="174" t="s">
        <v>417</v>
      </c>
      <c r="N70" s="172" t="s">
        <v>97</v>
      </c>
      <c r="O70" s="172" t="s">
        <v>97</v>
      </c>
      <c r="P70" s="172" t="s">
        <v>114</v>
      </c>
      <c r="Q70" s="172" t="s">
        <v>114</v>
      </c>
      <c r="R70" s="172" t="s">
        <v>97</v>
      </c>
      <c r="S70" s="172" t="s">
        <v>160</v>
      </c>
      <c r="T70" s="172" t="s">
        <v>160</v>
      </c>
      <c r="U70" s="175" t="s">
        <v>305</v>
      </c>
      <c r="V70" s="166"/>
      <c r="W70" s="166"/>
      <c r="X70" s="166"/>
      <c r="Y70" s="166"/>
      <c r="Z70" s="166"/>
    </row>
    <row r="71">
      <c r="A71" s="176">
        <v>86</v>
      </c>
      <c r="B71" s="177" t="s">
        <v>418</v>
      </c>
      <c r="C71" s="176" t="s">
        <v>166</v>
      </c>
      <c r="D71" s="176" t="s">
        <v>167</v>
      </c>
      <c r="E71" s="176" t="s">
        <v>223</v>
      </c>
      <c r="F71" s="176" t="s">
        <v>97</v>
      </c>
      <c r="G71" s="176" t="s">
        <v>354</v>
      </c>
      <c r="H71" s="176" t="s">
        <v>97</v>
      </c>
      <c r="I71" s="176" t="s">
        <v>223</v>
      </c>
      <c r="J71" s="176" t="s">
        <v>356</v>
      </c>
      <c r="K71" s="176" t="s">
        <v>225</v>
      </c>
      <c r="L71" s="178" t="s">
        <v>419</v>
      </c>
      <c r="M71" s="178" t="s">
        <v>31</v>
      </c>
      <c r="N71" s="176" t="s">
        <v>97</v>
      </c>
      <c r="O71" s="176" t="s">
        <v>97</v>
      </c>
      <c r="P71" s="176" t="s">
        <v>189</v>
      </c>
      <c r="Q71" s="176" t="s">
        <v>114</v>
      </c>
      <c r="R71" s="176" t="s">
        <v>97</v>
      </c>
      <c r="S71" s="176" t="s">
        <v>378</v>
      </c>
      <c r="T71" s="176" t="s">
        <v>129</v>
      </c>
      <c r="U71" s="179" t="s">
        <v>115</v>
      </c>
      <c r="V71" s="166"/>
      <c r="W71" s="166"/>
      <c r="X71" s="166"/>
      <c r="Y71" s="166"/>
      <c r="Z71" s="166"/>
    </row>
    <row r="72">
      <c r="A72" s="172">
        <v>85</v>
      </c>
      <c r="B72" s="173" t="s">
        <v>420</v>
      </c>
      <c r="C72" s="172" t="s">
        <v>274</v>
      </c>
      <c r="D72" s="172" t="s">
        <v>275</v>
      </c>
      <c r="E72" s="172" t="s">
        <v>104</v>
      </c>
      <c r="F72" s="172" t="s">
        <v>97</v>
      </c>
      <c r="G72" s="172" t="s">
        <v>298</v>
      </c>
      <c r="H72" s="172" t="s">
        <v>97</v>
      </c>
      <c r="I72" s="172" t="s">
        <v>104</v>
      </c>
      <c r="J72" s="172" t="s">
        <v>99</v>
      </c>
      <c r="K72" s="172" t="s">
        <v>108</v>
      </c>
      <c r="L72" s="174" t="s">
        <v>265</v>
      </c>
      <c r="M72" s="174" t="s">
        <v>362</v>
      </c>
      <c r="N72" s="172" t="s">
        <v>97</v>
      </c>
      <c r="O72" s="172" t="s">
        <v>97</v>
      </c>
      <c r="P72" s="172" t="s">
        <v>249</v>
      </c>
      <c r="Q72" s="172" t="s">
        <v>96</v>
      </c>
      <c r="R72" s="172" t="s">
        <v>97</v>
      </c>
      <c r="S72" s="172" t="s">
        <v>238</v>
      </c>
      <c r="T72" s="172" t="s">
        <v>310</v>
      </c>
      <c r="U72" s="175" t="s">
        <v>97</v>
      </c>
      <c r="V72" s="166"/>
      <c r="W72" s="166"/>
      <c r="X72" s="166"/>
      <c r="Y72" s="166"/>
      <c r="Z72" s="166"/>
    </row>
    <row r="73">
      <c r="A73" s="176">
        <v>84</v>
      </c>
      <c r="B73" s="177" t="s">
        <v>421</v>
      </c>
      <c r="C73" s="176" t="s">
        <v>120</v>
      </c>
      <c r="D73" s="176" t="s">
        <v>121</v>
      </c>
      <c r="E73" s="176" t="s">
        <v>343</v>
      </c>
      <c r="F73" s="176" t="s">
        <v>97</v>
      </c>
      <c r="G73" s="176" t="s">
        <v>278</v>
      </c>
      <c r="H73" s="176" t="s">
        <v>97</v>
      </c>
      <c r="I73" s="176" t="s">
        <v>343</v>
      </c>
      <c r="J73" s="176" t="s">
        <v>122</v>
      </c>
      <c r="K73" s="176" t="s">
        <v>422</v>
      </c>
      <c r="L73" s="178" t="s">
        <v>423</v>
      </c>
      <c r="M73" s="178" t="s">
        <v>424</v>
      </c>
      <c r="N73" s="176" t="s">
        <v>97</v>
      </c>
      <c r="O73" s="176" t="s">
        <v>97</v>
      </c>
      <c r="P73" s="176" t="s">
        <v>223</v>
      </c>
      <c r="Q73" s="176" t="s">
        <v>313</v>
      </c>
      <c r="R73" s="176" t="s">
        <v>97</v>
      </c>
      <c r="S73" s="176" t="s">
        <v>278</v>
      </c>
      <c r="T73" s="176" t="s">
        <v>97</v>
      </c>
      <c r="U73" s="179" t="s">
        <v>97</v>
      </c>
      <c r="V73" s="166"/>
      <c r="W73" s="166"/>
      <c r="X73" s="166"/>
      <c r="Y73" s="166"/>
      <c r="Z73" s="166"/>
    </row>
    <row r="74">
      <c r="A74" s="172">
        <v>83</v>
      </c>
      <c r="B74" s="173" t="s">
        <v>425</v>
      </c>
      <c r="C74" s="172" t="s">
        <v>274</v>
      </c>
      <c r="D74" s="172" t="s">
        <v>304</v>
      </c>
      <c r="E74" s="172" t="s">
        <v>294</v>
      </c>
      <c r="F74" s="172" t="s">
        <v>97</v>
      </c>
      <c r="G74" s="172" t="s">
        <v>305</v>
      </c>
      <c r="H74" s="172" t="s">
        <v>97</v>
      </c>
      <c r="I74" s="172" t="s">
        <v>294</v>
      </c>
      <c r="J74" s="172" t="s">
        <v>426</v>
      </c>
      <c r="K74" s="172" t="s">
        <v>100</v>
      </c>
      <c r="L74" s="174" t="s">
        <v>145</v>
      </c>
      <c r="M74" s="174" t="s">
        <v>281</v>
      </c>
      <c r="N74" s="172" t="s">
        <v>97</v>
      </c>
      <c r="O74" s="172" t="s">
        <v>97</v>
      </c>
      <c r="P74" s="172" t="s">
        <v>176</v>
      </c>
      <c r="Q74" s="172" t="s">
        <v>160</v>
      </c>
      <c r="R74" s="172" t="s">
        <v>97</v>
      </c>
      <c r="S74" s="172" t="s">
        <v>310</v>
      </c>
      <c r="T74" s="172" t="s">
        <v>194</v>
      </c>
      <c r="U74" s="175" t="s">
        <v>97</v>
      </c>
      <c r="V74" s="166"/>
      <c r="W74" s="166"/>
      <c r="X74" s="166"/>
      <c r="Y74" s="166"/>
      <c r="Z74" s="166"/>
    </row>
    <row r="75">
      <c r="A75" s="176">
        <v>82</v>
      </c>
      <c r="B75" s="177" t="s">
        <v>427</v>
      </c>
      <c r="C75" s="176" t="s">
        <v>103</v>
      </c>
      <c r="D75" s="176" t="s">
        <v>144</v>
      </c>
      <c r="E75" s="176" t="s">
        <v>97</v>
      </c>
      <c r="F75" s="176" t="s">
        <v>97</v>
      </c>
      <c r="G75" s="176" t="s">
        <v>129</v>
      </c>
      <c r="H75" s="176" t="s">
        <v>97</v>
      </c>
      <c r="I75" s="176" t="s">
        <v>97</v>
      </c>
      <c r="J75" s="176" t="s">
        <v>354</v>
      </c>
      <c r="K75" s="176" t="s">
        <v>117</v>
      </c>
      <c r="L75" s="178" t="s">
        <v>265</v>
      </c>
      <c r="M75" s="178" t="s">
        <v>135</v>
      </c>
      <c r="N75" s="176" t="s">
        <v>97</v>
      </c>
      <c r="O75" s="176" t="s">
        <v>97</v>
      </c>
      <c r="P75" s="176" t="s">
        <v>97</v>
      </c>
      <c r="Q75" s="176" t="s">
        <v>97</v>
      </c>
      <c r="R75" s="176" t="s">
        <v>97</v>
      </c>
      <c r="S75" s="176" t="s">
        <v>129</v>
      </c>
      <c r="T75" s="176" t="s">
        <v>97</v>
      </c>
      <c r="U75" s="179" t="s">
        <v>97</v>
      </c>
      <c r="V75" s="166"/>
      <c r="W75" s="166"/>
      <c r="X75" s="166"/>
      <c r="Y75" s="166"/>
      <c r="Z75" s="166"/>
    </row>
    <row r="76">
      <c r="A76" s="172">
        <v>81</v>
      </c>
      <c r="B76" s="173" t="s">
        <v>428</v>
      </c>
      <c r="C76" s="172" t="s">
        <v>196</v>
      </c>
      <c r="D76" s="172" t="s">
        <v>197</v>
      </c>
      <c r="E76" s="172" t="s">
        <v>129</v>
      </c>
      <c r="F76" s="172" t="s">
        <v>97</v>
      </c>
      <c r="G76" s="172" t="s">
        <v>298</v>
      </c>
      <c r="H76" s="172" t="s">
        <v>97</v>
      </c>
      <c r="I76" s="172" t="s">
        <v>129</v>
      </c>
      <c r="J76" s="172" t="s">
        <v>232</v>
      </c>
      <c r="K76" s="172" t="s">
        <v>110</v>
      </c>
      <c r="L76" s="174" t="s">
        <v>226</v>
      </c>
      <c r="M76" s="174" t="s">
        <v>429</v>
      </c>
      <c r="N76" s="172" t="s">
        <v>97</v>
      </c>
      <c r="O76" s="172" t="s">
        <v>97</v>
      </c>
      <c r="P76" s="172" t="s">
        <v>96</v>
      </c>
      <c r="Q76" s="172" t="s">
        <v>96</v>
      </c>
      <c r="R76" s="172" t="s">
        <v>97</v>
      </c>
      <c r="S76" s="172" t="s">
        <v>221</v>
      </c>
      <c r="T76" s="172" t="s">
        <v>187</v>
      </c>
      <c r="U76" s="175" t="s">
        <v>97</v>
      </c>
      <c r="V76" s="166"/>
      <c r="W76" s="166"/>
      <c r="X76" s="166"/>
      <c r="Y76" s="166"/>
      <c r="Z76" s="166"/>
    </row>
    <row r="77">
      <c r="A77" s="176">
        <v>80</v>
      </c>
      <c r="B77" s="177" t="s">
        <v>430</v>
      </c>
      <c r="C77" s="176" t="s">
        <v>251</v>
      </c>
      <c r="D77" s="176" t="s">
        <v>431</v>
      </c>
      <c r="E77" s="176" t="s">
        <v>313</v>
      </c>
      <c r="F77" s="176" t="s">
        <v>97</v>
      </c>
      <c r="G77" s="176" t="s">
        <v>390</v>
      </c>
      <c r="H77" s="176" t="s">
        <v>97</v>
      </c>
      <c r="I77" s="176" t="s">
        <v>313</v>
      </c>
      <c r="J77" s="176" t="s">
        <v>396</v>
      </c>
      <c r="K77" s="176" t="s">
        <v>432</v>
      </c>
      <c r="L77" s="178" t="s">
        <v>433</v>
      </c>
      <c r="M77" s="178" t="s">
        <v>434</v>
      </c>
      <c r="N77" s="176" t="s">
        <v>97</v>
      </c>
      <c r="O77" s="176" t="s">
        <v>97</v>
      </c>
      <c r="P77" s="176" t="s">
        <v>212</v>
      </c>
      <c r="Q77" s="176" t="s">
        <v>155</v>
      </c>
      <c r="R77" s="176" t="s">
        <v>97</v>
      </c>
      <c r="S77" s="176" t="s">
        <v>284</v>
      </c>
      <c r="T77" s="176" t="s">
        <v>96</v>
      </c>
      <c r="U77" s="179" t="s">
        <v>97</v>
      </c>
      <c r="V77" s="166"/>
      <c r="W77" s="166"/>
      <c r="X77" s="166"/>
      <c r="Y77" s="166"/>
      <c r="Z77" s="166"/>
    </row>
    <row r="78">
      <c r="A78" s="172">
        <v>79</v>
      </c>
      <c r="B78" s="173" t="s">
        <v>435</v>
      </c>
      <c r="C78" s="172" t="s">
        <v>210</v>
      </c>
      <c r="D78" s="172" t="s">
        <v>211</v>
      </c>
      <c r="E78" s="172" t="s">
        <v>169</v>
      </c>
      <c r="F78" s="172" t="s">
        <v>97</v>
      </c>
      <c r="G78" s="172" t="s">
        <v>244</v>
      </c>
      <c r="H78" s="172" t="s">
        <v>97</v>
      </c>
      <c r="I78" s="172" t="s">
        <v>169</v>
      </c>
      <c r="J78" s="172" t="s">
        <v>278</v>
      </c>
      <c r="K78" s="172" t="s">
        <v>253</v>
      </c>
      <c r="L78" s="174" t="s">
        <v>234</v>
      </c>
      <c r="M78" s="174" t="s">
        <v>424</v>
      </c>
      <c r="N78" s="172" t="s">
        <v>97</v>
      </c>
      <c r="O78" s="172" t="s">
        <v>97</v>
      </c>
      <c r="P78" s="172" t="s">
        <v>118</v>
      </c>
      <c r="Q78" s="172" t="s">
        <v>182</v>
      </c>
      <c r="R78" s="172" t="s">
        <v>97</v>
      </c>
      <c r="S78" s="172" t="s">
        <v>168</v>
      </c>
      <c r="T78" s="172" t="s">
        <v>140</v>
      </c>
      <c r="U78" s="175" t="s">
        <v>97</v>
      </c>
      <c r="V78" s="166"/>
      <c r="W78" s="166"/>
      <c r="X78" s="166"/>
      <c r="Y78" s="166"/>
      <c r="Z78" s="166"/>
    </row>
    <row r="79">
      <c r="A79" s="176">
        <v>78</v>
      </c>
      <c r="B79" s="177" t="s">
        <v>436</v>
      </c>
      <c r="C79" s="176" t="s">
        <v>341</v>
      </c>
      <c r="D79" s="176" t="s">
        <v>437</v>
      </c>
      <c r="E79" s="176" t="s">
        <v>298</v>
      </c>
      <c r="F79" s="176" t="s">
        <v>170</v>
      </c>
      <c r="G79" s="176" t="s">
        <v>160</v>
      </c>
      <c r="H79" s="176" t="s">
        <v>170</v>
      </c>
      <c r="I79" s="176" t="s">
        <v>212</v>
      </c>
      <c r="J79" s="176" t="s">
        <v>188</v>
      </c>
      <c r="K79" s="176" t="s">
        <v>162</v>
      </c>
      <c r="L79" s="178"/>
      <c r="M79" s="178"/>
      <c r="N79" s="176" t="s">
        <v>97</v>
      </c>
      <c r="O79" s="176" t="s">
        <v>170</v>
      </c>
      <c r="P79" s="176" t="s">
        <v>118</v>
      </c>
      <c r="Q79" s="176" t="s">
        <v>140</v>
      </c>
      <c r="R79" s="176" t="s">
        <v>97</v>
      </c>
      <c r="S79" s="176" t="s">
        <v>160</v>
      </c>
      <c r="T79" s="176" t="s">
        <v>97</v>
      </c>
      <c r="U79" s="179" t="s">
        <v>97</v>
      </c>
      <c r="V79" s="166"/>
      <c r="W79" s="166"/>
      <c r="X79" s="166"/>
      <c r="Y79" s="166"/>
      <c r="Z79" s="166"/>
    </row>
    <row r="80">
      <c r="A80" s="172">
        <v>77</v>
      </c>
      <c r="B80" s="173" t="s">
        <v>438</v>
      </c>
      <c r="C80" s="172" t="s">
        <v>185</v>
      </c>
      <c r="D80" s="172" t="s">
        <v>186</v>
      </c>
      <c r="E80" s="172" t="s">
        <v>213</v>
      </c>
      <c r="F80" s="172" t="s">
        <v>97</v>
      </c>
      <c r="G80" s="172" t="s">
        <v>213</v>
      </c>
      <c r="H80" s="172" t="s">
        <v>97</v>
      </c>
      <c r="I80" s="172" t="s">
        <v>213</v>
      </c>
      <c r="J80" s="172" t="s">
        <v>392</v>
      </c>
      <c r="K80" s="172" t="s">
        <v>439</v>
      </c>
      <c r="L80" s="174" t="s">
        <v>234</v>
      </c>
      <c r="M80" s="174" t="s">
        <v>135</v>
      </c>
      <c r="N80" s="172" t="s">
        <v>97</v>
      </c>
      <c r="O80" s="172" t="s">
        <v>97</v>
      </c>
      <c r="P80" s="172" t="s">
        <v>96</v>
      </c>
      <c r="Q80" s="172" t="s">
        <v>310</v>
      </c>
      <c r="R80" s="172" t="s">
        <v>97</v>
      </c>
      <c r="S80" s="172" t="s">
        <v>255</v>
      </c>
      <c r="T80" s="172" t="s">
        <v>140</v>
      </c>
      <c r="U80" s="175" t="s">
        <v>97</v>
      </c>
      <c r="V80" s="166"/>
      <c r="W80" s="166"/>
      <c r="X80" s="166"/>
      <c r="Y80" s="166"/>
      <c r="Z80" s="166"/>
    </row>
    <row r="81">
      <c r="A81" s="176">
        <v>76</v>
      </c>
      <c r="B81" s="177" t="s">
        <v>440</v>
      </c>
      <c r="C81" s="176" t="s">
        <v>210</v>
      </c>
      <c r="D81" s="176" t="s">
        <v>290</v>
      </c>
      <c r="E81" s="176" t="s">
        <v>174</v>
      </c>
      <c r="F81" s="176" t="s">
        <v>97</v>
      </c>
      <c r="G81" s="176" t="s">
        <v>100</v>
      </c>
      <c r="H81" s="176" t="s">
        <v>97</v>
      </c>
      <c r="I81" s="176" t="s">
        <v>174</v>
      </c>
      <c r="J81" s="176" t="s">
        <v>107</v>
      </c>
      <c r="K81" s="176" t="s">
        <v>243</v>
      </c>
      <c r="L81" s="178" t="s">
        <v>441</v>
      </c>
      <c r="M81" s="178" t="s">
        <v>126</v>
      </c>
      <c r="N81" s="176" t="s">
        <v>97</v>
      </c>
      <c r="O81" s="176" t="s">
        <v>97</v>
      </c>
      <c r="P81" s="176" t="s">
        <v>96</v>
      </c>
      <c r="Q81" s="176" t="s">
        <v>115</v>
      </c>
      <c r="R81" s="176" t="s">
        <v>97</v>
      </c>
      <c r="S81" s="176" t="s">
        <v>220</v>
      </c>
      <c r="T81" s="176" t="s">
        <v>392</v>
      </c>
      <c r="U81" s="179" t="s">
        <v>238</v>
      </c>
      <c r="V81" s="166"/>
      <c r="W81" s="166"/>
      <c r="X81" s="166"/>
      <c r="Y81" s="166"/>
      <c r="Z81" s="166"/>
    </row>
    <row r="82">
      <c r="A82" s="172">
        <v>75</v>
      </c>
      <c r="B82" s="173" t="s">
        <v>442</v>
      </c>
      <c r="C82" s="172" t="s">
        <v>443</v>
      </c>
      <c r="D82" s="172" t="s">
        <v>359</v>
      </c>
      <c r="E82" s="172" t="s">
        <v>97</v>
      </c>
      <c r="F82" s="172" t="s">
        <v>97</v>
      </c>
      <c r="G82" s="172" t="s">
        <v>97</v>
      </c>
      <c r="H82" s="172" t="s">
        <v>97</v>
      </c>
      <c r="I82" s="172" t="s">
        <v>97</v>
      </c>
      <c r="J82" s="172" t="s">
        <v>104</v>
      </c>
      <c r="K82" s="172" t="s">
        <v>354</v>
      </c>
      <c r="L82" s="174" t="s">
        <v>265</v>
      </c>
      <c r="M82" s="174" t="s">
        <v>135</v>
      </c>
      <c r="N82" s="172" t="s">
        <v>97</v>
      </c>
      <c r="O82" s="172" t="s">
        <v>97</v>
      </c>
      <c r="P82" s="172" t="s">
        <v>97</v>
      </c>
      <c r="Q82" s="172" t="s">
        <v>97</v>
      </c>
      <c r="R82" s="172" t="s">
        <v>97</v>
      </c>
      <c r="S82" s="172" t="s">
        <v>97</v>
      </c>
      <c r="T82" s="172" t="s">
        <v>97</v>
      </c>
      <c r="U82" s="175" t="s">
        <v>97</v>
      </c>
      <c r="V82" s="166"/>
      <c r="W82" s="166"/>
      <c r="X82" s="166"/>
      <c r="Y82" s="166"/>
      <c r="Z82" s="166"/>
    </row>
    <row r="83">
      <c r="A83" s="176">
        <v>74</v>
      </c>
      <c r="B83" s="177" t="s">
        <v>444</v>
      </c>
      <c r="C83" s="176" t="s">
        <v>237</v>
      </c>
      <c r="D83" s="176" t="s">
        <v>445</v>
      </c>
      <c r="E83" s="176" t="s">
        <v>228</v>
      </c>
      <c r="F83" s="176" t="s">
        <v>114</v>
      </c>
      <c r="G83" s="176" t="s">
        <v>257</v>
      </c>
      <c r="H83" s="176" t="s">
        <v>114</v>
      </c>
      <c r="I83" s="176" t="s">
        <v>168</v>
      </c>
      <c r="J83" s="176" t="s">
        <v>232</v>
      </c>
      <c r="K83" s="176" t="s">
        <v>432</v>
      </c>
      <c r="L83" s="178" t="s">
        <v>394</v>
      </c>
      <c r="M83" s="178" t="s">
        <v>135</v>
      </c>
      <c r="N83" s="176" t="s">
        <v>97</v>
      </c>
      <c r="O83" s="176" t="s">
        <v>114</v>
      </c>
      <c r="P83" s="176" t="s">
        <v>203</v>
      </c>
      <c r="Q83" s="176" t="s">
        <v>96</v>
      </c>
      <c r="R83" s="176" t="s">
        <v>97</v>
      </c>
      <c r="S83" s="176" t="s">
        <v>203</v>
      </c>
      <c r="T83" s="176" t="s">
        <v>220</v>
      </c>
      <c r="U83" s="179" t="s">
        <v>212</v>
      </c>
      <c r="V83" s="166"/>
      <c r="W83" s="166"/>
      <c r="X83" s="166"/>
      <c r="Y83" s="166"/>
      <c r="Z83" s="166"/>
    </row>
    <row r="84">
      <c r="A84" s="172">
        <v>73</v>
      </c>
      <c r="B84" s="173" t="s">
        <v>446</v>
      </c>
      <c r="C84" s="172" t="s">
        <v>148</v>
      </c>
      <c r="D84" s="172" t="s">
        <v>149</v>
      </c>
      <c r="E84" s="172" t="s">
        <v>392</v>
      </c>
      <c r="F84" s="172" t="s">
        <v>183</v>
      </c>
      <c r="G84" s="172" t="s">
        <v>221</v>
      </c>
      <c r="H84" s="172" t="s">
        <v>183</v>
      </c>
      <c r="I84" s="172" t="s">
        <v>294</v>
      </c>
      <c r="J84" s="172" t="s">
        <v>328</v>
      </c>
      <c r="K84" s="172" t="s">
        <v>447</v>
      </c>
      <c r="L84" s="174" t="s">
        <v>448</v>
      </c>
      <c r="M84" s="174" t="s">
        <v>449</v>
      </c>
      <c r="N84" s="172" t="s">
        <v>127</v>
      </c>
      <c r="O84" s="172" t="s">
        <v>140</v>
      </c>
      <c r="P84" s="172" t="s">
        <v>187</v>
      </c>
      <c r="Q84" s="172" t="s">
        <v>140</v>
      </c>
      <c r="R84" s="172" t="s">
        <v>97</v>
      </c>
      <c r="S84" s="172" t="s">
        <v>198</v>
      </c>
      <c r="T84" s="172" t="s">
        <v>183</v>
      </c>
      <c r="U84" s="175" t="s">
        <v>140</v>
      </c>
      <c r="V84" s="166"/>
      <c r="W84" s="166"/>
      <c r="X84" s="166"/>
      <c r="Y84" s="166"/>
      <c r="Z84" s="166"/>
    </row>
    <row r="85">
      <c r="A85" s="176">
        <v>72</v>
      </c>
      <c r="B85" s="177" t="s">
        <v>450</v>
      </c>
      <c r="C85" s="176" t="s">
        <v>106</v>
      </c>
      <c r="D85" s="176" t="s">
        <v>451</v>
      </c>
      <c r="E85" s="176" t="s">
        <v>115</v>
      </c>
      <c r="F85" s="176" t="s">
        <v>97</v>
      </c>
      <c r="G85" s="176" t="s">
        <v>110</v>
      </c>
      <c r="H85" s="176" t="s">
        <v>97</v>
      </c>
      <c r="I85" s="176" t="s">
        <v>115</v>
      </c>
      <c r="J85" s="176" t="s">
        <v>144</v>
      </c>
      <c r="K85" s="176" t="s">
        <v>308</v>
      </c>
      <c r="L85" s="178" t="s">
        <v>145</v>
      </c>
      <c r="M85" s="178" t="s">
        <v>424</v>
      </c>
      <c r="N85" s="176" t="s">
        <v>97</v>
      </c>
      <c r="O85" s="176" t="s">
        <v>97</v>
      </c>
      <c r="P85" s="176" t="s">
        <v>97</v>
      </c>
      <c r="Q85" s="176" t="s">
        <v>97</v>
      </c>
      <c r="R85" s="176" t="s">
        <v>97</v>
      </c>
      <c r="S85" s="176" t="s">
        <v>97</v>
      </c>
      <c r="T85" s="176" t="s">
        <v>97</v>
      </c>
      <c r="U85" s="179" t="s">
        <v>97</v>
      </c>
      <c r="V85" s="166"/>
      <c r="W85" s="166"/>
      <c r="X85" s="166"/>
      <c r="Y85" s="166"/>
      <c r="Z85" s="166"/>
    </row>
    <row r="86">
      <c r="A86" s="172">
        <v>71</v>
      </c>
      <c r="B86" s="173" t="s">
        <v>452</v>
      </c>
      <c r="C86" s="172" t="s">
        <v>210</v>
      </c>
      <c r="D86" s="172" t="s">
        <v>211</v>
      </c>
      <c r="E86" s="172" t="s">
        <v>176</v>
      </c>
      <c r="F86" s="172" t="s">
        <v>97</v>
      </c>
      <c r="G86" s="172" t="s">
        <v>326</v>
      </c>
      <c r="H86" s="172" t="s">
        <v>97</v>
      </c>
      <c r="I86" s="172" t="s">
        <v>176</v>
      </c>
      <c r="J86" s="172" t="s">
        <v>283</v>
      </c>
      <c r="K86" s="172" t="s">
        <v>453</v>
      </c>
      <c r="L86" s="174" t="s">
        <v>265</v>
      </c>
      <c r="M86" s="174" t="s">
        <v>424</v>
      </c>
      <c r="N86" s="172" t="s">
        <v>97</v>
      </c>
      <c r="O86" s="172" t="s">
        <v>97</v>
      </c>
      <c r="P86" s="172" t="s">
        <v>96</v>
      </c>
      <c r="Q86" s="172" t="s">
        <v>114</v>
      </c>
      <c r="R86" s="172" t="s">
        <v>97</v>
      </c>
      <c r="S86" s="172" t="s">
        <v>104</v>
      </c>
      <c r="T86" s="172" t="s">
        <v>302</v>
      </c>
      <c r="U86" s="175" t="s">
        <v>213</v>
      </c>
      <c r="V86" s="166"/>
      <c r="W86" s="166"/>
      <c r="X86" s="166"/>
      <c r="Y86" s="166"/>
      <c r="Z86" s="166"/>
    </row>
    <row r="87">
      <c r="A87" s="176">
        <v>70</v>
      </c>
      <c r="B87" s="177" t="s">
        <v>454</v>
      </c>
      <c r="C87" s="176" t="s">
        <v>215</v>
      </c>
      <c r="D87" s="176" t="s">
        <v>248</v>
      </c>
      <c r="E87" s="176" t="s">
        <v>104</v>
      </c>
      <c r="F87" s="176" t="s">
        <v>97</v>
      </c>
      <c r="G87" s="176" t="s">
        <v>308</v>
      </c>
      <c r="H87" s="176" t="s">
        <v>97</v>
      </c>
      <c r="I87" s="176" t="s">
        <v>104</v>
      </c>
      <c r="J87" s="176" t="s">
        <v>386</v>
      </c>
      <c r="K87" s="176" t="s">
        <v>224</v>
      </c>
      <c r="L87" s="178" t="s">
        <v>455</v>
      </c>
      <c r="M87" s="178" t="s">
        <v>456</v>
      </c>
      <c r="N87" s="176" t="s">
        <v>97</v>
      </c>
      <c r="O87" s="176" t="s">
        <v>97</v>
      </c>
      <c r="P87" s="176" t="s">
        <v>176</v>
      </c>
      <c r="Q87" s="176" t="s">
        <v>116</v>
      </c>
      <c r="R87" s="176" t="s">
        <v>97</v>
      </c>
      <c r="S87" s="176" t="s">
        <v>203</v>
      </c>
      <c r="T87" s="176" t="s">
        <v>335</v>
      </c>
      <c r="U87" s="179" t="s">
        <v>97</v>
      </c>
      <c r="V87" s="166"/>
      <c r="W87" s="166"/>
      <c r="X87" s="166"/>
      <c r="Y87" s="166"/>
      <c r="Z87" s="166"/>
    </row>
    <row r="88">
      <c r="A88" s="172">
        <v>69</v>
      </c>
      <c r="B88" s="173" t="s">
        <v>457</v>
      </c>
      <c r="C88" s="172" t="s">
        <v>94</v>
      </c>
      <c r="D88" s="172" t="s">
        <v>95</v>
      </c>
      <c r="E88" s="172" t="s">
        <v>189</v>
      </c>
      <c r="F88" s="172" t="s">
        <v>97</v>
      </c>
      <c r="G88" s="172" t="s">
        <v>128</v>
      </c>
      <c r="H88" s="172" t="s">
        <v>97</v>
      </c>
      <c r="I88" s="172" t="s">
        <v>189</v>
      </c>
      <c r="J88" s="172" t="s">
        <v>443</v>
      </c>
      <c r="K88" s="172" t="s">
        <v>458</v>
      </c>
      <c r="L88" s="174" t="s">
        <v>459</v>
      </c>
      <c r="M88" s="174" t="s">
        <v>460</v>
      </c>
      <c r="N88" s="172" t="s">
        <v>97</v>
      </c>
      <c r="O88" s="172" t="s">
        <v>97</v>
      </c>
      <c r="P88" s="172" t="s">
        <v>176</v>
      </c>
      <c r="Q88" s="172" t="s">
        <v>212</v>
      </c>
      <c r="R88" s="172" t="s">
        <v>97</v>
      </c>
      <c r="S88" s="172" t="s">
        <v>396</v>
      </c>
      <c r="T88" s="172" t="s">
        <v>115</v>
      </c>
      <c r="U88" s="175" t="s">
        <v>97</v>
      </c>
      <c r="V88" s="166"/>
      <c r="W88" s="166"/>
      <c r="X88" s="166"/>
      <c r="Y88" s="166"/>
      <c r="Z88" s="166"/>
    </row>
    <row r="89">
      <c r="A89" s="176">
        <v>68</v>
      </c>
      <c r="B89" s="177" t="s">
        <v>461</v>
      </c>
      <c r="C89" s="176" t="s">
        <v>148</v>
      </c>
      <c r="D89" s="176" t="s">
        <v>149</v>
      </c>
      <c r="E89" s="176" t="s">
        <v>462</v>
      </c>
      <c r="F89" s="176" t="s">
        <v>140</v>
      </c>
      <c r="G89" s="176" t="s">
        <v>128</v>
      </c>
      <c r="H89" s="176" t="s">
        <v>140</v>
      </c>
      <c r="I89" s="176" t="s">
        <v>155</v>
      </c>
      <c r="J89" s="176" t="s">
        <v>103</v>
      </c>
      <c r="K89" s="176" t="s">
        <v>120</v>
      </c>
      <c r="L89" s="178" t="s">
        <v>101</v>
      </c>
      <c r="M89" s="178" t="s">
        <v>463</v>
      </c>
      <c r="N89" s="176" t="s">
        <v>97</v>
      </c>
      <c r="O89" s="176" t="s">
        <v>140</v>
      </c>
      <c r="P89" s="176" t="s">
        <v>244</v>
      </c>
      <c r="Q89" s="176" t="s">
        <v>114</v>
      </c>
      <c r="R89" s="176" t="s">
        <v>97</v>
      </c>
      <c r="S89" s="176" t="s">
        <v>255</v>
      </c>
      <c r="T89" s="176" t="s">
        <v>117</v>
      </c>
      <c r="U89" s="179" t="s">
        <v>140</v>
      </c>
      <c r="V89" s="166"/>
      <c r="W89" s="166"/>
      <c r="X89" s="166"/>
      <c r="Y89" s="166"/>
      <c r="Z89" s="166"/>
    </row>
    <row r="90">
      <c r="A90" s="172">
        <v>67</v>
      </c>
      <c r="B90" s="173" t="s">
        <v>464</v>
      </c>
      <c r="C90" s="172" t="s">
        <v>274</v>
      </c>
      <c r="D90" s="172" t="s">
        <v>275</v>
      </c>
      <c r="E90" s="172" t="s">
        <v>193</v>
      </c>
      <c r="F90" s="172" t="s">
        <v>97</v>
      </c>
      <c r="G90" s="172" t="s">
        <v>175</v>
      </c>
      <c r="H90" s="172" t="s">
        <v>97</v>
      </c>
      <c r="I90" s="172" t="s">
        <v>193</v>
      </c>
      <c r="J90" s="172" t="s">
        <v>343</v>
      </c>
      <c r="K90" s="172" t="s">
        <v>120</v>
      </c>
      <c r="L90" s="174" t="s">
        <v>145</v>
      </c>
      <c r="M90" s="174" t="s">
        <v>113</v>
      </c>
      <c r="N90" s="172" t="s">
        <v>97</v>
      </c>
      <c r="O90" s="172" t="s">
        <v>97</v>
      </c>
      <c r="P90" s="172" t="s">
        <v>243</v>
      </c>
      <c r="Q90" s="172" t="s">
        <v>217</v>
      </c>
      <c r="R90" s="172" t="s">
        <v>97</v>
      </c>
      <c r="S90" s="172" t="s">
        <v>168</v>
      </c>
      <c r="T90" s="172" t="s">
        <v>187</v>
      </c>
      <c r="U90" s="175" t="s">
        <v>97</v>
      </c>
      <c r="V90" s="166"/>
      <c r="W90" s="166"/>
      <c r="X90" s="166"/>
      <c r="Y90" s="166"/>
      <c r="Z90" s="166"/>
    </row>
    <row r="91">
      <c r="A91" s="176">
        <v>63</v>
      </c>
      <c r="B91" s="177" t="s">
        <v>465</v>
      </c>
      <c r="C91" s="176" t="s">
        <v>178</v>
      </c>
      <c r="D91" s="176" t="s">
        <v>179</v>
      </c>
      <c r="E91" s="176" t="s">
        <v>189</v>
      </c>
      <c r="F91" s="176" t="s">
        <v>97</v>
      </c>
      <c r="G91" s="176" t="s">
        <v>356</v>
      </c>
      <c r="H91" s="176" t="s">
        <v>97</v>
      </c>
      <c r="I91" s="176" t="s">
        <v>189</v>
      </c>
      <c r="J91" s="176" t="s">
        <v>466</v>
      </c>
      <c r="K91" s="176" t="s">
        <v>378</v>
      </c>
      <c r="L91" s="178" t="s">
        <v>467</v>
      </c>
      <c r="M91" s="178" t="s">
        <v>135</v>
      </c>
      <c r="N91" s="176" t="s">
        <v>97</v>
      </c>
      <c r="O91" s="176" t="s">
        <v>97</v>
      </c>
      <c r="P91" s="176" t="s">
        <v>129</v>
      </c>
      <c r="Q91" s="176" t="s">
        <v>115</v>
      </c>
      <c r="R91" s="176" t="s">
        <v>97</v>
      </c>
      <c r="S91" s="176" t="s">
        <v>321</v>
      </c>
      <c r="T91" s="176" t="s">
        <v>175</v>
      </c>
      <c r="U91" s="179" t="s">
        <v>140</v>
      </c>
      <c r="V91" s="166"/>
      <c r="W91" s="166"/>
      <c r="X91" s="166"/>
      <c r="Y91" s="166"/>
      <c r="Z91" s="166"/>
    </row>
    <row r="92">
      <c r="A92" s="172">
        <v>66</v>
      </c>
      <c r="B92" s="173" t="s">
        <v>468</v>
      </c>
      <c r="C92" s="172" t="s">
        <v>210</v>
      </c>
      <c r="D92" s="172" t="s">
        <v>211</v>
      </c>
      <c r="E92" s="172" t="s">
        <v>278</v>
      </c>
      <c r="F92" s="172" t="s">
        <v>97</v>
      </c>
      <c r="G92" s="172" t="s">
        <v>128</v>
      </c>
      <c r="H92" s="172" t="s">
        <v>97</v>
      </c>
      <c r="I92" s="172" t="s">
        <v>278</v>
      </c>
      <c r="J92" s="172" t="s">
        <v>169</v>
      </c>
      <c r="K92" s="172" t="s">
        <v>196</v>
      </c>
      <c r="L92" s="174" t="s">
        <v>171</v>
      </c>
      <c r="M92" s="174" t="s">
        <v>293</v>
      </c>
      <c r="N92" s="172" t="s">
        <v>97</v>
      </c>
      <c r="O92" s="172" t="s">
        <v>97</v>
      </c>
      <c r="P92" s="172" t="s">
        <v>174</v>
      </c>
      <c r="Q92" s="172" t="s">
        <v>104</v>
      </c>
      <c r="R92" s="172" t="s">
        <v>97</v>
      </c>
      <c r="S92" s="172" t="s">
        <v>387</v>
      </c>
      <c r="T92" s="172" t="s">
        <v>174</v>
      </c>
      <c r="U92" s="175" t="s">
        <v>140</v>
      </c>
      <c r="V92" s="166"/>
      <c r="W92" s="166"/>
      <c r="X92" s="166"/>
      <c r="Y92" s="166"/>
      <c r="Z92" s="166"/>
    </row>
    <row r="93">
      <c r="A93" s="176">
        <v>65</v>
      </c>
      <c r="B93" s="177" t="s">
        <v>469</v>
      </c>
      <c r="C93" s="176" t="s">
        <v>185</v>
      </c>
      <c r="D93" s="176" t="s">
        <v>186</v>
      </c>
      <c r="E93" s="176" t="s">
        <v>255</v>
      </c>
      <c r="F93" s="176" t="s">
        <v>97</v>
      </c>
      <c r="G93" s="176" t="s">
        <v>284</v>
      </c>
      <c r="H93" s="176" t="s">
        <v>97</v>
      </c>
      <c r="I93" s="176" t="s">
        <v>255</v>
      </c>
      <c r="J93" s="176" t="s">
        <v>313</v>
      </c>
      <c r="K93" s="176" t="s">
        <v>374</v>
      </c>
      <c r="L93" s="178" t="s">
        <v>171</v>
      </c>
      <c r="M93" s="178" t="s">
        <v>293</v>
      </c>
      <c r="N93" s="176" t="s">
        <v>97</v>
      </c>
      <c r="O93" s="176" t="s">
        <v>97</v>
      </c>
      <c r="P93" s="176" t="s">
        <v>160</v>
      </c>
      <c r="Q93" s="176" t="s">
        <v>392</v>
      </c>
      <c r="R93" s="176" t="s">
        <v>97</v>
      </c>
      <c r="S93" s="176" t="s">
        <v>313</v>
      </c>
      <c r="T93" s="176" t="s">
        <v>114</v>
      </c>
      <c r="U93" s="179" t="s">
        <v>97</v>
      </c>
      <c r="V93" s="166"/>
      <c r="W93" s="166"/>
      <c r="X93" s="166"/>
      <c r="Y93" s="166"/>
      <c r="Z93" s="166"/>
    </row>
    <row r="94">
      <c r="A94" s="172">
        <v>64</v>
      </c>
      <c r="B94" s="173" t="s">
        <v>470</v>
      </c>
      <c r="C94" s="172" t="s">
        <v>178</v>
      </c>
      <c r="D94" s="172" t="s">
        <v>179</v>
      </c>
      <c r="E94" s="172" t="s">
        <v>116</v>
      </c>
      <c r="F94" s="172" t="s">
        <v>97</v>
      </c>
      <c r="G94" s="172" t="s">
        <v>224</v>
      </c>
      <c r="H94" s="172" t="s">
        <v>97</v>
      </c>
      <c r="I94" s="172" t="s">
        <v>116</v>
      </c>
      <c r="J94" s="172" t="s">
        <v>298</v>
      </c>
      <c r="K94" s="172" t="s">
        <v>458</v>
      </c>
      <c r="L94" s="174" t="s">
        <v>101</v>
      </c>
      <c r="M94" s="174" t="s">
        <v>471</v>
      </c>
      <c r="N94" s="172" t="s">
        <v>97</v>
      </c>
      <c r="O94" s="172" t="s">
        <v>97</v>
      </c>
      <c r="P94" s="172" t="s">
        <v>117</v>
      </c>
      <c r="Q94" s="172" t="s">
        <v>160</v>
      </c>
      <c r="R94" s="172" t="s">
        <v>97</v>
      </c>
      <c r="S94" s="172" t="s">
        <v>124</v>
      </c>
      <c r="T94" s="172" t="s">
        <v>118</v>
      </c>
      <c r="U94" s="175" t="s">
        <v>97</v>
      </c>
      <c r="V94" s="166"/>
      <c r="W94" s="166"/>
      <c r="X94" s="166"/>
      <c r="Y94" s="166"/>
      <c r="Z94" s="166"/>
    </row>
    <row r="95">
      <c r="A95" s="176">
        <v>62</v>
      </c>
      <c r="B95" s="177" t="s">
        <v>472</v>
      </c>
      <c r="C95" s="176" t="s">
        <v>148</v>
      </c>
      <c r="D95" s="176" t="s">
        <v>149</v>
      </c>
      <c r="E95" s="176" t="s">
        <v>220</v>
      </c>
      <c r="F95" s="176" t="s">
        <v>97</v>
      </c>
      <c r="G95" s="176" t="s">
        <v>109</v>
      </c>
      <c r="H95" s="176" t="s">
        <v>97</v>
      </c>
      <c r="I95" s="176" t="s">
        <v>220</v>
      </c>
      <c r="J95" s="176" t="s">
        <v>196</v>
      </c>
      <c r="K95" s="176" t="s">
        <v>170</v>
      </c>
      <c r="L95" s="178" t="s">
        <v>101</v>
      </c>
      <c r="M95" s="178"/>
      <c r="N95" s="176" t="s">
        <v>97</v>
      </c>
      <c r="O95" s="176" t="s">
        <v>97</v>
      </c>
      <c r="P95" s="176" t="s">
        <v>176</v>
      </c>
      <c r="Q95" s="176" t="s">
        <v>117</v>
      </c>
      <c r="R95" s="176" t="s">
        <v>97</v>
      </c>
      <c r="S95" s="176" t="s">
        <v>223</v>
      </c>
      <c r="T95" s="176" t="s">
        <v>313</v>
      </c>
      <c r="U95" s="179" t="s">
        <v>116</v>
      </c>
      <c r="V95" s="166"/>
      <c r="W95" s="166"/>
      <c r="X95" s="166"/>
      <c r="Y95" s="166"/>
      <c r="Z95" s="166"/>
    </row>
    <row r="96">
      <c r="A96" s="172">
        <v>61</v>
      </c>
      <c r="B96" s="173" t="s">
        <v>473</v>
      </c>
      <c r="C96" s="172" t="s">
        <v>252</v>
      </c>
      <c r="D96" s="172" t="s">
        <v>474</v>
      </c>
      <c r="E96" s="172" t="s">
        <v>298</v>
      </c>
      <c r="F96" s="172" t="s">
        <v>169</v>
      </c>
      <c r="G96" s="172" t="s">
        <v>115</v>
      </c>
      <c r="H96" s="172" t="s">
        <v>169</v>
      </c>
      <c r="I96" s="172" t="s">
        <v>302</v>
      </c>
      <c r="J96" s="172" t="s">
        <v>176</v>
      </c>
      <c r="K96" s="172" t="s">
        <v>475</v>
      </c>
      <c r="L96" s="174" t="s">
        <v>145</v>
      </c>
      <c r="M96" s="174" t="s">
        <v>476</v>
      </c>
      <c r="N96" s="172" t="s">
        <v>310</v>
      </c>
      <c r="O96" s="172" t="s">
        <v>294</v>
      </c>
      <c r="P96" s="172" t="s">
        <v>204</v>
      </c>
      <c r="Q96" s="172" t="s">
        <v>114</v>
      </c>
      <c r="R96" s="172" t="s">
        <v>97</v>
      </c>
      <c r="S96" s="172" t="s">
        <v>97</v>
      </c>
      <c r="T96" s="172" t="s">
        <v>115</v>
      </c>
      <c r="U96" s="175" t="s">
        <v>97</v>
      </c>
      <c r="V96" s="166"/>
      <c r="W96" s="166"/>
      <c r="X96" s="166"/>
      <c r="Y96" s="166"/>
      <c r="Z96" s="166"/>
    </row>
    <row r="97">
      <c r="A97" s="176">
        <v>60</v>
      </c>
      <c r="B97" s="177" t="s">
        <v>477</v>
      </c>
      <c r="C97" s="176" t="s">
        <v>178</v>
      </c>
      <c r="D97" s="176" t="s">
        <v>179</v>
      </c>
      <c r="E97" s="176" t="s">
        <v>189</v>
      </c>
      <c r="F97" s="176" t="s">
        <v>97</v>
      </c>
      <c r="G97" s="176" t="s">
        <v>298</v>
      </c>
      <c r="H97" s="176" t="s">
        <v>97</v>
      </c>
      <c r="I97" s="176" t="s">
        <v>189</v>
      </c>
      <c r="J97" s="176" t="s">
        <v>170</v>
      </c>
      <c r="K97" s="176" t="s">
        <v>447</v>
      </c>
      <c r="L97" s="178" t="s">
        <v>265</v>
      </c>
      <c r="M97" s="178" t="s">
        <v>478</v>
      </c>
      <c r="N97" s="176" t="s">
        <v>97</v>
      </c>
      <c r="O97" s="176" t="s">
        <v>97</v>
      </c>
      <c r="P97" s="176" t="s">
        <v>160</v>
      </c>
      <c r="Q97" s="176" t="s">
        <v>160</v>
      </c>
      <c r="R97" s="176" t="s">
        <v>97</v>
      </c>
      <c r="S97" s="176" t="s">
        <v>164</v>
      </c>
      <c r="T97" s="176" t="s">
        <v>115</v>
      </c>
      <c r="U97" s="179" t="s">
        <v>97</v>
      </c>
      <c r="V97" s="166"/>
      <c r="W97" s="166"/>
      <c r="X97" s="166"/>
      <c r="Y97" s="166"/>
      <c r="Z97" s="166"/>
    </row>
    <row r="98">
      <c r="A98" s="172">
        <v>59</v>
      </c>
      <c r="B98" s="173" t="s">
        <v>479</v>
      </c>
      <c r="C98" s="172" t="s">
        <v>262</v>
      </c>
      <c r="D98" s="172" t="s">
        <v>480</v>
      </c>
      <c r="E98" s="172" t="s">
        <v>118</v>
      </c>
      <c r="F98" s="172" t="s">
        <v>97</v>
      </c>
      <c r="G98" s="172" t="s">
        <v>462</v>
      </c>
      <c r="H98" s="172" t="s">
        <v>97</v>
      </c>
      <c r="I98" s="172" t="s">
        <v>118</v>
      </c>
      <c r="J98" s="172" t="s">
        <v>481</v>
      </c>
      <c r="K98" s="172" t="s">
        <v>157</v>
      </c>
      <c r="L98" s="174" t="s">
        <v>265</v>
      </c>
      <c r="M98" s="174" t="s">
        <v>482</v>
      </c>
      <c r="N98" s="172" t="s">
        <v>97</v>
      </c>
      <c r="O98" s="172" t="s">
        <v>97</v>
      </c>
      <c r="P98" s="172" t="s">
        <v>115</v>
      </c>
      <c r="Q98" s="172" t="s">
        <v>115</v>
      </c>
      <c r="R98" s="172" t="s">
        <v>97</v>
      </c>
      <c r="S98" s="172" t="s">
        <v>116</v>
      </c>
      <c r="T98" s="172" t="s">
        <v>189</v>
      </c>
      <c r="U98" s="175" t="s">
        <v>176</v>
      </c>
      <c r="V98" s="166"/>
      <c r="W98" s="166"/>
      <c r="X98" s="166"/>
      <c r="Y98" s="166"/>
      <c r="Z98" s="166"/>
    </row>
    <row r="99">
      <c r="A99" s="176">
        <v>58</v>
      </c>
      <c r="B99" s="177" t="s">
        <v>483</v>
      </c>
      <c r="C99" s="176" t="s">
        <v>150</v>
      </c>
      <c r="D99" s="176" t="s">
        <v>484</v>
      </c>
      <c r="E99" s="176" t="s">
        <v>180</v>
      </c>
      <c r="F99" s="176" t="s">
        <v>298</v>
      </c>
      <c r="G99" s="176" t="s">
        <v>116</v>
      </c>
      <c r="H99" s="176" t="s">
        <v>298</v>
      </c>
      <c r="I99" s="176" t="s">
        <v>176</v>
      </c>
      <c r="J99" s="176" t="s">
        <v>127</v>
      </c>
      <c r="K99" s="176" t="s">
        <v>437</v>
      </c>
      <c r="L99" s="178" t="s">
        <v>171</v>
      </c>
      <c r="M99" s="178" t="s">
        <v>485</v>
      </c>
      <c r="N99" s="176" t="s">
        <v>335</v>
      </c>
      <c r="O99" s="176" t="s">
        <v>183</v>
      </c>
      <c r="P99" s="176" t="s">
        <v>96</v>
      </c>
      <c r="Q99" s="176" t="s">
        <v>114</v>
      </c>
      <c r="R99" s="176" t="s">
        <v>97</v>
      </c>
      <c r="S99" s="176" t="s">
        <v>187</v>
      </c>
      <c r="T99" s="176" t="s">
        <v>114</v>
      </c>
      <c r="U99" s="179" t="s">
        <v>97</v>
      </c>
      <c r="V99" s="166"/>
      <c r="W99" s="166"/>
      <c r="X99" s="166"/>
      <c r="Y99" s="166"/>
      <c r="Z99" s="166"/>
    </row>
    <row r="100">
      <c r="A100" s="172">
        <v>57</v>
      </c>
      <c r="B100" s="173" t="s">
        <v>486</v>
      </c>
      <c r="C100" s="172" t="s">
        <v>274</v>
      </c>
      <c r="D100" s="172" t="s">
        <v>304</v>
      </c>
      <c r="E100" s="172" t="s">
        <v>228</v>
      </c>
      <c r="F100" s="172" t="s">
        <v>115</v>
      </c>
      <c r="G100" s="172" t="s">
        <v>221</v>
      </c>
      <c r="H100" s="172" t="s">
        <v>115</v>
      </c>
      <c r="I100" s="172" t="s">
        <v>244</v>
      </c>
      <c r="J100" s="172" t="s">
        <v>157</v>
      </c>
      <c r="K100" s="172" t="s">
        <v>487</v>
      </c>
      <c r="L100" s="174" t="s">
        <v>488</v>
      </c>
      <c r="M100" s="174" t="s">
        <v>489</v>
      </c>
      <c r="N100" s="172" t="s">
        <v>97</v>
      </c>
      <c r="O100" s="172" t="s">
        <v>115</v>
      </c>
      <c r="P100" s="172" t="s">
        <v>249</v>
      </c>
      <c r="Q100" s="172" t="s">
        <v>294</v>
      </c>
      <c r="R100" s="172" t="s">
        <v>97</v>
      </c>
      <c r="S100" s="172" t="s">
        <v>193</v>
      </c>
      <c r="T100" s="172" t="s">
        <v>129</v>
      </c>
      <c r="U100" s="175" t="s">
        <v>97</v>
      </c>
      <c r="V100" s="166"/>
      <c r="W100" s="166"/>
      <c r="X100" s="166"/>
      <c r="Y100" s="166"/>
      <c r="Z100" s="166"/>
    </row>
    <row r="101">
      <c r="A101" s="176">
        <v>56</v>
      </c>
      <c r="B101" s="177" t="s">
        <v>490</v>
      </c>
      <c r="C101" s="176" t="s">
        <v>94</v>
      </c>
      <c r="D101" s="176" t="s">
        <v>95</v>
      </c>
      <c r="E101" s="176" t="s">
        <v>294</v>
      </c>
      <c r="F101" s="176" t="s">
        <v>97</v>
      </c>
      <c r="G101" s="176" t="s">
        <v>354</v>
      </c>
      <c r="H101" s="176" t="s">
        <v>97</v>
      </c>
      <c r="I101" s="176" t="s">
        <v>294</v>
      </c>
      <c r="J101" s="176" t="s">
        <v>215</v>
      </c>
      <c r="K101" s="176" t="s">
        <v>343</v>
      </c>
      <c r="L101" s="178" t="s">
        <v>491</v>
      </c>
      <c r="M101" s="178" t="s">
        <v>492</v>
      </c>
      <c r="N101" s="176" t="s">
        <v>97</v>
      </c>
      <c r="O101" s="176" t="s">
        <v>97</v>
      </c>
      <c r="P101" s="176" t="s">
        <v>302</v>
      </c>
      <c r="Q101" s="176" t="s">
        <v>114</v>
      </c>
      <c r="R101" s="176" t="s">
        <v>97</v>
      </c>
      <c r="S101" s="176" t="s">
        <v>217</v>
      </c>
      <c r="T101" s="176" t="s">
        <v>169</v>
      </c>
      <c r="U101" s="179" t="s">
        <v>140</v>
      </c>
      <c r="V101" s="166"/>
      <c r="W101" s="166"/>
      <c r="X101" s="166"/>
      <c r="Y101" s="166"/>
      <c r="Z101" s="166"/>
    </row>
    <row r="102">
      <c r="A102" s="172">
        <v>55</v>
      </c>
      <c r="B102" s="173" t="s">
        <v>493</v>
      </c>
      <c r="C102" s="172" t="s">
        <v>94</v>
      </c>
      <c r="D102" s="172" t="s">
        <v>95</v>
      </c>
      <c r="E102" s="172" t="s">
        <v>174</v>
      </c>
      <c r="F102" s="172" t="s">
        <v>97</v>
      </c>
      <c r="G102" s="172" t="s">
        <v>232</v>
      </c>
      <c r="H102" s="172" t="s">
        <v>97</v>
      </c>
      <c r="I102" s="172" t="s">
        <v>174</v>
      </c>
      <c r="J102" s="172" t="s">
        <v>162</v>
      </c>
      <c r="K102" s="172" t="s">
        <v>108</v>
      </c>
      <c r="L102" s="174" t="s">
        <v>276</v>
      </c>
      <c r="M102" s="174" t="s">
        <v>478</v>
      </c>
      <c r="N102" s="172" t="s">
        <v>97</v>
      </c>
      <c r="O102" s="172" t="s">
        <v>97</v>
      </c>
      <c r="P102" s="172" t="s">
        <v>212</v>
      </c>
      <c r="Q102" s="172" t="s">
        <v>114</v>
      </c>
      <c r="R102" s="172" t="s">
        <v>97</v>
      </c>
      <c r="S102" s="172" t="s">
        <v>124</v>
      </c>
      <c r="T102" s="172" t="s">
        <v>204</v>
      </c>
      <c r="U102" s="175" t="s">
        <v>97</v>
      </c>
      <c r="V102" s="166"/>
      <c r="W102" s="166"/>
      <c r="X102" s="166"/>
      <c r="Y102" s="166"/>
      <c r="Z102" s="166"/>
    </row>
    <row r="103">
      <c r="A103" s="176">
        <v>54</v>
      </c>
      <c r="B103" s="177" t="s">
        <v>494</v>
      </c>
      <c r="C103" s="176" t="s">
        <v>210</v>
      </c>
      <c r="D103" s="176" t="s">
        <v>290</v>
      </c>
      <c r="E103" s="176" t="s">
        <v>176</v>
      </c>
      <c r="F103" s="176" t="s">
        <v>97</v>
      </c>
      <c r="G103" s="176" t="s">
        <v>305</v>
      </c>
      <c r="H103" s="176" t="s">
        <v>97</v>
      </c>
      <c r="I103" s="176" t="s">
        <v>176</v>
      </c>
      <c r="J103" s="176" t="s">
        <v>334</v>
      </c>
      <c r="K103" s="176" t="s">
        <v>313</v>
      </c>
      <c r="L103" s="178" t="s">
        <v>201</v>
      </c>
      <c r="M103" s="178" t="s">
        <v>495</v>
      </c>
      <c r="N103" s="176" t="s">
        <v>97</v>
      </c>
      <c r="O103" s="176" t="s">
        <v>97</v>
      </c>
      <c r="P103" s="176" t="s">
        <v>160</v>
      </c>
      <c r="Q103" s="176" t="s">
        <v>115</v>
      </c>
      <c r="R103" s="176" t="s">
        <v>97</v>
      </c>
      <c r="S103" s="176" t="s">
        <v>116</v>
      </c>
      <c r="T103" s="176" t="s">
        <v>169</v>
      </c>
      <c r="U103" s="179" t="s">
        <v>97</v>
      </c>
      <c r="V103" s="166"/>
      <c r="W103" s="166"/>
      <c r="X103" s="166"/>
      <c r="Y103" s="166"/>
      <c r="Z103" s="166"/>
    </row>
    <row r="104">
      <c r="A104" s="172">
        <v>53</v>
      </c>
      <c r="B104" s="173" t="s">
        <v>496</v>
      </c>
      <c r="C104" s="172" t="s">
        <v>210</v>
      </c>
      <c r="D104" s="172" t="s">
        <v>211</v>
      </c>
      <c r="E104" s="172" t="s">
        <v>243</v>
      </c>
      <c r="F104" s="172" t="s">
        <v>97</v>
      </c>
      <c r="G104" s="172" t="s">
        <v>124</v>
      </c>
      <c r="H104" s="172" t="s">
        <v>97</v>
      </c>
      <c r="I104" s="172" t="s">
        <v>243</v>
      </c>
      <c r="J104" s="172" t="s">
        <v>99</v>
      </c>
      <c r="K104" s="172" t="s">
        <v>326</v>
      </c>
      <c r="L104" s="174" t="s">
        <v>497</v>
      </c>
      <c r="M104" s="174" t="s">
        <v>495</v>
      </c>
      <c r="N104" s="172" t="s">
        <v>97</v>
      </c>
      <c r="O104" s="172" t="s">
        <v>97</v>
      </c>
      <c r="P104" s="172" t="s">
        <v>302</v>
      </c>
      <c r="Q104" s="172" t="s">
        <v>117</v>
      </c>
      <c r="R104" s="172" t="s">
        <v>97</v>
      </c>
      <c r="S104" s="172" t="s">
        <v>228</v>
      </c>
      <c r="T104" s="172" t="s">
        <v>168</v>
      </c>
      <c r="U104" s="175" t="s">
        <v>97</v>
      </c>
      <c r="V104" s="166"/>
      <c r="W104" s="166"/>
      <c r="X104" s="166"/>
      <c r="Y104" s="166"/>
      <c r="Z104" s="166"/>
    </row>
    <row r="105">
      <c r="A105" s="176">
        <v>52</v>
      </c>
      <c r="B105" s="177" t="s">
        <v>498</v>
      </c>
      <c r="C105" s="176" t="s">
        <v>178</v>
      </c>
      <c r="D105" s="176" t="s">
        <v>179</v>
      </c>
      <c r="E105" s="176" t="s">
        <v>104</v>
      </c>
      <c r="F105" s="176" t="s">
        <v>97</v>
      </c>
      <c r="G105" s="176" t="s">
        <v>350</v>
      </c>
      <c r="H105" s="176" t="s">
        <v>97</v>
      </c>
      <c r="I105" s="176" t="s">
        <v>104</v>
      </c>
      <c r="J105" s="176" t="s">
        <v>381</v>
      </c>
      <c r="K105" s="176" t="s">
        <v>196</v>
      </c>
      <c r="L105" s="178" t="s">
        <v>234</v>
      </c>
      <c r="M105" s="178" t="s">
        <v>135</v>
      </c>
      <c r="N105" s="176" t="s">
        <v>97</v>
      </c>
      <c r="O105" s="176" t="s">
        <v>97</v>
      </c>
      <c r="P105" s="176" t="s">
        <v>249</v>
      </c>
      <c r="Q105" s="176" t="s">
        <v>96</v>
      </c>
      <c r="R105" s="176" t="s">
        <v>97</v>
      </c>
      <c r="S105" s="176" t="s">
        <v>390</v>
      </c>
      <c r="T105" s="176" t="s">
        <v>204</v>
      </c>
      <c r="U105" s="179" t="s">
        <v>97</v>
      </c>
      <c r="V105" s="166"/>
      <c r="W105" s="166"/>
      <c r="X105" s="166"/>
      <c r="Y105" s="166"/>
      <c r="Z105" s="166"/>
    </row>
    <row r="106">
      <c r="A106" s="172">
        <v>50</v>
      </c>
      <c r="B106" s="173" t="s">
        <v>499</v>
      </c>
      <c r="C106" s="172" t="s">
        <v>120</v>
      </c>
      <c r="D106" s="172" t="s">
        <v>121</v>
      </c>
      <c r="E106" s="172" t="s">
        <v>294</v>
      </c>
      <c r="F106" s="172" t="s">
        <v>97</v>
      </c>
      <c r="G106" s="172" t="s">
        <v>356</v>
      </c>
      <c r="H106" s="172" t="s">
        <v>97</v>
      </c>
      <c r="I106" s="172" t="s">
        <v>294</v>
      </c>
      <c r="J106" s="172" t="s">
        <v>354</v>
      </c>
      <c r="K106" s="172" t="s">
        <v>426</v>
      </c>
      <c r="L106" s="174" t="s">
        <v>101</v>
      </c>
      <c r="M106" s="174" t="s">
        <v>113</v>
      </c>
      <c r="N106" s="172" t="s">
        <v>97</v>
      </c>
      <c r="O106" s="172" t="s">
        <v>97</v>
      </c>
      <c r="P106" s="172" t="s">
        <v>96</v>
      </c>
      <c r="Q106" s="172" t="s">
        <v>204</v>
      </c>
      <c r="R106" s="172" t="s">
        <v>97</v>
      </c>
      <c r="S106" s="172" t="s">
        <v>298</v>
      </c>
      <c r="T106" s="172" t="s">
        <v>117</v>
      </c>
      <c r="U106" s="175" t="s">
        <v>97</v>
      </c>
      <c r="V106" s="166"/>
      <c r="W106" s="166"/>
      <c r="X106" s="166"/>
      <c r="Y106" s="166"/>
      <c r="Z106" s="166"/>
    </row>
    <row r="107">
      <c r="A107" s="176">
        <v>51</v>
      </c>
      <c r="B107" s="177" t="s">
        <v>31</v>
      </c>
      <c r="C107" s="176" t="s">
        <v>210</v>
      </c>
      <c r="D107" s="176">
        <v>189</v>
      </c>
      <c r="E107" s="176">
        <v>10.144</v>
      </c>
      <c r="F107" s="176" t="s">
        <v>97</v>
      </c>
      <c r="G107" s="176">
        <v>9.2599999999999998</v>
      </c>
      <c r="H107" s="176" t="s">
        <v>97</v>
      </c>
      <c r="I107" s="176" t="s">
        <v>223</v>
      </c>
      <c r="J107" s="176">
        <v>78</v>
      </c>
      <c r="K107" s="176">
        <v>111</v>
      </c>
      <c r="L107" s="178" t="s">
        <v>500</v>
      </c>
      <c r="M107" s="178" t="s">
        <v>501</v>
      </c>
      <c r="N107" s="176" t="s">
        <v>97</v>
      </c>
      <c r="O107" s="176" t="s">
        <v>97</v>
      </c>
      <c r="P107" s="176" t="s">
        <v>189</v>
      </c>
      <c r="Q107" s="176" t="s">
        <v>114</v>
      </c>
      <c r="R107" s="176" t="s">
        <v>97</v>
      </c>
      <c r="S107" s="176" t="s">
        <v>378</v>
      </c>
      <c r="T107" s="176" t="s">
        <v>129</v>
      </c>
      <c r="U107" s="179" t="s">
        <v>140</v>
      </c>
      <c r="V107" s="166">
        <v>10.192</v>
      </c>
      <c r="W107" s="166">
        <v>9.8379999999999992</v>
      </c>
      <c r="X107" s="166">
        <v>9.1519999999999992</v>
      </c>
      <c r="Y107" s="166">
        <v>9.298</v>
      </c>
      <c r="Z107" s="166">
        <v>10.194000000000001</v>
      </c>
    </row>
    <row r="108">
      <c r="A108" s="172">
        <v>49</v>
      </c>
      <c r="B108" s="173" t="s">
        <v>502</v>
      </c>
      <c r="C108" s="172" t="s">
        <v>210</v>
      </c>
      <c r="D108" s="172" t="s">
        <v>290</v>
      </c>
      <c r="E108" s="172" t="s">
        <v>97</v>
      </c>
      <c r="F108" s="172" t="s">
        <v>97</v>
      </c>
      <c r="G108" s="172" t="s">
        <v>161</v>
      </c>
      <c r="H108" s="172" t="s">
        <v>97</v>
      </c>
      <c r="I108" s="172" t="s">
        <v>97</v>
      </c>
      <c r="J108" s="172" t="s">
        <v>353</v>
      </c>
      <c r="K108" s="172" t="s">
        <v>203</v>
      </c>
      <c r="L108" s="174" t="s">
        <v>503</v>
      </c>
      <c r="M108" s="174" t="s">
        <v>504</v>
      </c>
      <c r="N108" s="172" t="s">
        <v>97</v>
      </c>
      <c r="O108" s="172" t="s">
        <v>97</v>
      </c>
      <c r="P108" s="172" t="s">
        <v>97</v>
      </c>
      <c r="Q108" s="172" t="s">
        <v>97</v>
      </c>
      <c r="R108" s="172" t="s">
        <v>97</v>
      </c>
      <c r="S108" s="172" t="s">
        <v>97</v>
      </c>
      <c r="T108" s="172" t="s">
        <v>109</v>
      </c>
      <c r="U108" s="175" t="s">
        <v>176</v>
      </c>
      <c r="V108" s="166"/>
      <c r="W108" s="166"/>
      <c r="X108" s="166"/>
      <c r="Y108" s="166"/>
      <c r="Z108" s="166"/>
    </row>
    <row r="109">
      <c r="A109" s="176">
        <v>48</v>
      </c>
      <c r="B109" s="177" t="s">
        <v>505</v>
      </c>
      <c r="C109" s="176" t="s">
        <v>506</v>
      </c>
      <c r="D109" s="176" t="s">
        <v>507</v>
      </c>
      <c r="E109" s="176" t="s">
        <v>97</v>
      </c>
      <c r="F109" s="176" t="s">
        <v>97</v>
      </c>
      <c r="G109" s="176" t="s">
        <v>97</v>
      </c>
      <c r="H109" s="176" t="s">
        <v>97</v>
      </c>
      <c r="I109" s="176" t="s">
        <v>97</v>
      </c>
      <c r="J109" s="176" t="s">
        <v>264</v>
      </c>
      <c r="K109" s="176" t="s">
        <v>157</v>
      </c>
      <c r="L109" s="178"/>
      <c r="M109" s="178"/>
      <c r="N109" s="176" t="s">
        <v>114</v>
      </c>
      <c r="O109" s="176" t="s">
        <v>97</v>
      </c>
      <c r="P109" s="176" t="s">
        <v>114</v>
      </c>
      <c r="Q109" s="176" t="s">
        <v>140</v>
      </c>
      <c r="R109" s="176" t="s">
        <v>97</v>
      </c>
      <c r="S109" s="176" t="s">
        <v>127</v>
      </c>
      <c r="T109" s="176" t="s">
        <v>284</v>
      </c>
      <c r="U109" s="179" t="s">
        <v>115</v>
      </c>
      <c r="V109" s="166"/>
      <c r="W109" s="166"/>
      <c r="X109" s="166"/>
      <c r="Y109" s="166"/>
      <c r="Z109" s="166"/>
    </row>
    <row r="110">
      <c r="A110" s="172">
        <v>47</v>
      </c>
      <c r="B110" s="173" t="s">
        <v>508</v>
      </c>
      <c r="C110" s="172" t="s">
        <v>318</v>
      </c>
      <c r="D110" s="172" t="s">
        <v>509</v>
      </c>
      <c r="E110" s="172" t="s">
        <v>510</v>
      </c>
      <c r="F110" s="172" t="s">
        <v>140</v>
      </c>
      <c r="G110" s="172" t="s">
        <v>104</v>
      </c>
      <c r="H110" s="172" t="s">
        <v>140</v>
      </c>
      <c r="I110" s="172" t="s">
        <v>298</v>
      </c>
      <c r="J110" s="172" t="s">
        <v>188</v>
      </c>
      <c r="K110" s="172" t="s">
        <v>196</v>
      </c>
      <c r="L110" s="174"/>
      <c r="M110" s="174"/>
      <c r="N110" s="172" t="s">
        <v>97</v>
      </c>
      <c r="O110" s="172" t="s">
        <v>140</v>
      </c>
      <c r="P110" s="172" t="s">
        <v>170</v>
      </c>
      <c r="Q110" s="172" t="s">
        <v>118</v>
      </c>
      <c r="R110" s="172" t="s">
        <v>97</v>
      </c>
      <c r="S110" s="172" t="s">
        <v>204</v>
      </c>
      <c r="T110" s="172" t="s">
        <v>176</v>
      </c>
      <c r="U110" s="175" t="s">
        <v>174</v>
      </c>
      <c r="V110" s="166"/>
      <c r="W110" s="166"/>
      <c r="X110" s="166"/>
      <c r="Y110" s="166"/>
      <c r="Z110" s="166"/>
    </row>
    <row r="111">
      <c r="A111" s="176">
        <v>46</v>
      </c>
      <c r="B111" s="177" t="s">
        <v>511</v>
      </c>
      <c r="C111" s="176" t="s">
        <v>510</v>
      </c>
      <c r="D111" s="176" t="s">
        <v>512</v>
      </c>
      <c r="E111" s="176" t="s">
        <v>213</v>
      </c>
      <c r="F111" s="176" t="s">
        <v>140</v>
      </c>
      <c r="G111" s="176" t="s">
        <v>255</v>
      </c>
      <c r="H111" s="176" t="s">
        <v>140</v>
      </c>
      <c r="I111" s="176" t="s">
        <v>255</v>
      </c>
      <c r="J111" s="176" t="s">
        <v>513</v>
      </c>
      <c r="K111" s="176" t="s">
        <v>334</v>
      </c>
      <c r="L111" s="178" t="s">
        <v>171</v>
      </c>
      <c r="M111" s="178" t="s">
        <v>113</v>
      </c>
      <c r="N111" s="176" t="s">
        <v>97</v>
      </c>
      <c r="O111" s="176" t="s">
        <v>140</v>
      </c>
      <c r="P111" s="176" t="s">
        <v>310</v>
      </c>
      <c r="Q111" s="176" t="s">
        <v>212</v>
      </c>
      <c r="R111" s="176" t="s">
        <v>97</v>
      </c>
      <c r="S111" s="176" t="s">
        <v>228</v>
      </c>
      <c r="T111" s="176" t="s">
        <v>204</v>
      </c>
      <c r="U111" s="179" t="s">
        <v>97</v>
      </c>
      <c r="V111" s="166"/>
      <c r="W111" s="166"/>
      <c r="X111" s="166"/>
      <c r="Y111" s="166"/>
      <c r="Z111" s="166"/>
    </row>
    <row r="112">
      <c r="A112" s="172">
        <v>45</v>
      </c>
      <c r="B112" s="173" t="s">
        <v>514</v>
      </c>
      <c r="C112" s="172" t="s">
        <v>510</v>
      </c>
      <c r="D112" s="172" t="s">
        <v>512</v>
      </c>
      <c r="E112" s="172" t="s">
        <v>213</v>
      </c>
      <c r="F112" s="172" t="s">
        <v>140</v>
      </c>
      <c r="G112" s="172" t="s">
        <v>255</v>
      </c>
      <c r="H112" s="172" t="s">
        <v>140</v>
      </c>
      <c r="I112" s="172" t="s">
        <v>255</v>
      </c>
      <c r="J112" s="172" t="s">
        <v>513</v>
      </c>
      <c r="K112" s="172" t="s">
        <v>334</v>
      </c>
      <c r="L112" s="174" t="s">
        <v>515</v>
      </c>
      <c r="M112" s="174" t="s">
        <v>113</v>
      </c>
      <c r="N112" s="172" t="s">
        <v>97</v>
      </c>
      <c r="O112" s="172" t="s">
        <v>140</v>
      </c>
      <c r="P112" s="172" t="s">
        <v>310</v>
      </c>
      <c r="Q112" s="172" t="s">
        <v>212</v>
      </c>
      <c r="R112" s="172" t="s">
        <v>97</v>
      </c>
      <c r="S112" s="172" t="s">
        <v>228</v>
      </c>
      <c r="T112" s="172" t="s">
        <v>204</v>
      </c>
      <c r="U112" s="175" t="s">
        <v>97</v>
      </c>
      <c r="V112" s="166"/>
      <c r="W112" s="166"/>
      <c r="X112" s="166"/>
      <c r="Y112" s="166"/>
      <c r="Z112" s="166"/>
    </row>
    <row r="113">
      <c r="A113" s="176">
        <v>44</v>
      </c>
      <c r="B113" s="177" t="s">
        <v>516</v>
      </c>
      <c r="C113" s="176" t="s">
        <v>246</v>
      </c>
      <c r="D113" s="176" t="s">
        <v>247</v>
      </c>
      <c r="E113" s="176" t="s">
        <v>513</v>
      </c>
      <c r="F113" s="176" t="s">
        <v>392</v>
      </c>
      <c r="G113" s="176" t="s">
        <v>168</v>
      </c>
      <c r="H113" s="176" t="s">
        <v>392</v>
      </c>
      <c r="I113" s="176" t="s">
        <v>117</v>
      </c>
      <c r="J113" s="176" t="s">
        <v>310</v>
      </c>
      <c r="K113" s="176" t="s">
        <v>517</v>
      </c>
      <c r="L113" s="178" t="s">
        <v>518</v>
      </c>
      <c r="M113" s="178" t="s">
        <v>113</v>
      </c>
      <c r="N113" s="176" t="s">
        <v>238</v>
      </c>
      <c r="O113" s="176" t="s">
        <v>302</v>
      </c>
      <c r="P113" s="176" t="s">
        <v>176</v>
      </c>
      <c r="Q113" s="176" t="s">
        <v>115</v>
      </c>
      <c r="R113" s="176" t="s">
        <v>97</v>
      </c>
      <c r="S113" s="176" t="s">
        <v>198</v>
      </c>
      <c r="T113" s="176" t="s">
        <v>118</v>
      </c>
      <c r="U113" s="179" t="s">
        <v>140</v>
      </c>
      <c r="V113" s="166"/>
      <c r="W113" s="166"/>
      <c r="X113" s="166"/>
      <c r="Y113" s="166"/>
      <c r="Z113" s="166"/>
    </row>
    <row r="114">
      <c r="A114" s="172">
        <v>43</v>
      </c>
      <c r="B114" s="173" t="s">
        <v>519</v>
      </c>
      <c r="C114" s="172" t="s">
        <v>520</v>
      </c>
      <c r="D114" s="172" t="s">
        <v>233</v>
      </c>
      <c r="E114" s="172" t="s">
        <v>213</v>
      </c>
      <c r="F114" s="172" t="s">
        <v>155</v>
      </c>
      <c r="G114" s="172" t="s">
        <v>155</v>
      </c>
      <c r="H114" s="172" t="s">
        <v>155</v>
      </c>
      <c r="I114" s="172" t="s">
        <v>204</v>
      </c>
      <c r="J114" s="172" t="s">
        <v>313</v>
      </c>
      <c r="K114" s="172" t="s">
        <v>121</v>
      </c>
      <c r="L114" s="174" t="s">
        <v>134</v>
      </c>
      <c r="M114" s="174" t="s">
        <v>113</v>
      </c>
      <c r="N114" s="172" t="s">
        <v>238</v>
      </c>
      <c r="O114" s="172" t="s">
        <v>117</v>
      </c>
      <c r="P114" s="172" t="s">
        <v>174</v>
      </c>
      <c r="Q114" s="172" t="s">
        <v>115</v>
      </c>
      <c r="R114" s="172" t="s">
        <v>97</v>
      </c>
      <c r="S114" s="172" t="s">
        <v>278</v>
      </c>
      <c r="T114" s="172" t="s">
        <v>118</v>
      </c>
      <c r="U114" s="175" t="s">
        <v>140</v>
      </c>
      <c r="V114" s="166"/>
      <c r="W114" s="166"/>
      <c r="X114" s="166"/>
      <c r="Y114" s="166"/>
      <c r="Z114" s="166"/>
    </row>
    <row r="115">
      <c r="A115" s="176">
        <v>42</v>
      </c>
      <c r="B115" s="177" t="s">
        <v>521</v>
      </c>
      <c r="C115" s="176" t="s">
        <v>517</v>
      </c>
      <c r="D115" s="176" t="s">
        <v>522</v>
      </c>
      <c r="E115" s="176" t="s">
        <v>124</v>
      </c>
      <c r="F115" s="176" t="s">
        <v>381</v>
      </c>
      <c r="G115" s="176" t="s">
        <v>116</v>
      </c>
      <c r="H115" s="176" t="s">
        <v>381</v>
      </c>
      <c r="I115" s="176" t="s">
        <v>204</v>
      </c>
      <c r="J115" s="176" t="s">
        <v>220</v>
      </c>
      <c r="K115" s="176" t="s">
        <v>413</v>
      </c>
      <c r="L115" s="178" t="s">
        <v>145</v>
      </c>
      <c r="M115" s="178" t="s">
        <v>113</v>
      </c>
      <c r="N115" s="176" t="s">
        <v>255</v>
      </c>
      <c r="O115" s="176" t="s">
        <v>294</v>
      </c>
      <c r="P115" s="176" t="s">
        <v>174</v>
      </c>
      <c r="Q115" s="176" t="s">
        <v>115</v>
      </c>
      <c r="R115" s="176" t="s">
        <v>97</v>
      </c>
      <c r="S115" s="176" t="s">
        <v>187</v>
      </c>
      <c r="T115" s="176" t="s">
        <v>114</v>
      </c>
      <c r="U115" s="179" t="s">
        <v>97</v>
      </c>
      <c r="V115" s="166"/>
      <c r="W115" s="166"/>
      <c r="X115" s="166"/>
      <c r="Y115" s="166"/>
      <c r="Z115" s="166"/>
    </row>
    <row r="116">
      <c r="A116" s="172">
        <v>41</v>
      </c>
      <c r="B116" s="173" t="s">
        <v>523</v>
      </c>
      <c r="C116" s="172" t="s">
        <v>524</v>
      </c>
      <c r="D116" s="172" t="s">
        <v>525</v>
      </c>
      <c r="E116" s="172" t="s">
        <v>116</v>
      </c>
      <c r="F116" s="172" t="s">
        <v>97</v>
      </c>
      <c r="G116" s="172" t="s">
        <v>224</v>
      </c>
      <c r="H116" s="172" t="s">
        <v>97</v>
      </c>
      <c r="I116" s="172" t="s">
        <v>116</v>
      </c>
      <c r="J116" s="172" t="s">
        <v>239</v>
      </c>
      <c r="K116" s="172" t="s">
        <v>100</v>
      </c>
      <c r="L116" s="174" t="s">
        <v>526</v>
      </c>
      <c r="M116" s="174" t="s">
        <v>527</v>
      </c>
      <c r="N116" s="172" t="s">
        <v>97</v>
      </c>
      <c r="O116" s="172" t="s">
        <v>97</v>
      </c>
      <c r="P116" s="172" t="s">
        <v>302</v>
      </c>
      <c r="Q116" s="172" t="s">
        <v>212</v>
      </c>
      <c r="R116" s="172" t="s">
        <v>97</v>
      </c>
      <c r="S116" s="172" t="s">
        <v>443</v>
      </c>
      <c r="T116" s="172" t="s">
        <v>114</v>
      </c>
      <c r="U116" s="175" t="s">
        <v>97</v>
      </c>
      <c r="V116" s="166"/>
      <c r="W116" s="166"/>
      <c r="X116" s="166"/>
      <c r="Y116" s="166"/>
      <c r="Z116" s="166"/>
    </row>
    <row r="117">
      <c r="A117" s="176">
        <v>40</v>
      </c>
      <c r="B117" s="177" t="s">
        <v>528</v>
      </c>
      <c r="C117" s="176" t="s">
        <v>210</v>
      </c>
      <c r="D117" s="176" t="s">
        <v>290</v>
      </c>
      <c r="E117" s="176" t="s">
        <v>249</v>
      </c>
      <c r="F117" s="176" t="s">
        <v>97</v>
      </c>
      <c r="G117" s="176" t="s">
        <v>224</v>
      </c>
      <c r="H117" s="176" t="s">
        <v>97</v>
      </c>
      <c r="I117" s="176" t="s">
        <v>249</v>
      </c>
      <c r="J117" s="176" t="s">
        <v>458</v>
      </c>
      <c r="K117" s="176" t="s">
        <v>164</v>
      </c>
      <c r="L117" s="178" t="s">
        <v>382</v>
      </c>
      <c r="M117" s="178" t="s">
        <v>113</v>
      </c>
      <c r="N117" s="176" t="s">
        <v>97</v>
      </c>
      <c r="O117" s="176" t="s">
        <v>97</v>
      </c>
      <c r="P117" s="176" t="s">
        <v>117</v>
      </c>
      <c r="Q117" s="176" t="s">
        <v>204</v>
      </c>
      <c r="R117" s="176" t="s">
        <v>97</v>
      </c>
      <c r="S117" s="176" t="s">
        <v>116</v>
      </c>
      <c r="T117" s="176" t="s">
        <v>169</v>
      </c>
      <c r="U117" s="179" t="s">
        <v>140</v>
      </c>
      <c r="V117" s="166"/>
      <c r="W117" s="166"/>
      <c r="X117" s="166"/>
      <c r="Y117" s="166"/>
      <c r="Z117" s="166"/>
    </row>
    <row r="118">
      <c r="A118" s="172">
        <v>39</v>
      </c>
      <c r="B118" s="173" t="s">
        <v>529</v>
      </c>
      <c r="C118" s="172" t="s">
        <v>237</v>
      </c>
      <c r="D118" s="172" t="s">
        <v>137</v>
      </c>
      <c r="E118" s="172" t="s">
        <v>223</v>
      </c>
      <c r="F118" s="172" t="s">
        <v>97</v>
      </c>
      <c r="G118" s="172" t="s">
        <v>180</v>
      </c>
      <c r="H118" s="172" t="s">
        <v>97</v>
      </c>
      <c r="I118" s="172" t="s">
        <v>223</v>
      </c>
      <c r="J118" s="172" t="s">
        <v>308</v>
      </c>
      <c r="K118" s="172" t="s">
        <v>262</v>
      </c>
      <c r="L118" s="174" t="s">
        <v>530</v>
      </c>
      <c r="M118" s="174" t="s">
        <v>113</v>
      </c>
      <c r="N118" s="172" t="s">
        <v>97</v>
      </c>
      <c r="O118" s="172" t="s">
        <v>97</v>
      </c>
      <c r="P118" s="172" t="s">
        <v>302</v>
      </c>
      <c r="Q118" s="172" t="s">
        <v>118</v>
      </c>
      <c r="R118" s="172" t="s">
        <v>97</v>
      </c>
      <c r="S118" s="172" t="s">
        <v>305</v>
      </c>
      <c r="T118" s="172" t="s">
        <v>114</v>
      </c>
      <c r="U118" s="175" t="s">
        <v>140</v>
      </c>
      <c r="V118" s="166"/>
      <c r="W118" s="166"/>
      <c r="X118" s="166"/>
      <c r="Y118" s="166"/>
      <c r="Z118" s="166"/>
    </row>
    <row r="119">
      <c r="A119" s="176">
        <v>38</v>
      </c>
      <c r="B119" s="177" t="s">
        <v>531</v>
      </c>
      <c r="C119" s="176" t="s">
        <v>274</v>
      </c>
      <c r="D119" s="176" t="s">
        <v>275</v>
      </c>
      <c r="E119" s="176" t="s">
        <v>129</v>
      </c>
      <c r="F119" s="176" t="s">
        <v>97</v>
      </c>
      <c r="G119" s="176" t="s">
        <v>206</v>
      </c>
      <c r="H119" s="176" t="s">
        <v>97</v>
      </c>
      <c r="I119" s="176" t="s">
        <v>129</v>
      </c>
      <c r="J119" s="176" t="s">
        <v>349</v>
      </c>
      <c r="K119" s="176" t="s">
        <v>390</v>
      </c>
      <c r="L119" s="178" t="s">
        <v>532</v>
      </c>
      <c r="M119" s="178" t="s">
        <v>533</v>
      </c>
      <c r="N119" s="176" t="s">
        <v>97</v>
      </c>
      <c r="O119" s="176" t="s">
        <v>97</v>
      </c>
      <c r="P119" s="176" t="s">
        <v>204</v>
      </c>
      <c r="Q119" s="176" t="s">
        <v>115</v>
      </c>
      <c r="R119" s="176" t="s">
        <v>97</v>
      </c>
      <c r="S119" s="176" t="s">
        <v>223</v>
      </c>
      <c r="T119" s="176" t="s">
        <v>378</v>
      </c>
      <c r="U119" s="179" t="s">
        <v>115</v>
      </c>
      <c r="V119" s="166"/>
      <c r="W119" s="166"/>
      <c r="X119" s="166"/>
      <c r="Y119" s="166"/>
      <c r="Z119" s="166"/>
    </row>
    <row r="120">
      <c r="A120" s="172">
        <v>30</v>
      </c>
      <c r="B120" s="173" t="s">
        <v>534</v>
      </c>
      <c r="C120" s="172" t="s">
        <v>210</v>
      </c>
      <c r="D120" s="172" t="s">
        <v>211</v>
      </c>
      <c r="E120" s="172" t="s">
        <v>176</v>
      </c>
      <c r="F120" s="172" t="s">
        <v>97</v>
      </c>
      <c r="G120" s="172" t="s">
        <v>100</v>
      </c>
      <c r="H120" s="172" t="s">
        <v>97</v>
      </c>
      <c r="I120" s="172" t="s">
        <v>176</v>
      </c>
      <c r="J120" s="172" t="s">
        <v>524</v>
      </c>
      <c r="K120" s="172" t="s">
        <v>308</v>
      </c>
      <c r="L120" s="174" t="s">
        <v>535</v>
      </c>
      <c r="M120" s="174" t="s">
        <v>379</v>
      </c>
      <c r="N120" s="172" t="s">
        <v>97</v>
      </c>
      <c r="O120" s="172" t="s">
        <v>97</v>
      </c>
      <c r="P120" s="172" t="s">
        <v>160</v>
      </c>
      <c r="Q120" s="172" t="s">
        <v>115</v>
      </c>
      <c r="R120" s="172" t="s">
        <v>97</v>
      </c>
      <c r="S120" s="172" t="s">
        <v>213</v>
      </c>
      <c r="T120" s="172" t="s">
        <v>228</v>
      </c>
      <c r="U120" s="175" t="s">
        <v>115</v>
      </c>
      <c r="V120" s="166"/>
      <c r="W120" s="166"/>
      <c r="X120" s="166"/>
      <c r="Y120" s="166"/>
      <c r="Z120" s="166"/>
    </row>
    <row r="121">
      <c r="A121" s="176">
        <v>28</v>
      </c>
      <c r="B121" s="177" t="s">
        <v>536</v>
      </c>
      <c r="C121" s="176" t="s">
        <v>185</v>
      </c>
      <c r="D121" s="176" t="s">
        <v>186</v>
      </c>
      <c r="E121" s="176" t="s">
        <v>174</v>
      </c>
      <c r="F121" s="176" t="s">
        <v>97</v>
      </c>
      <c r="G121" s="176" t="s">
        <v>100</v>
      </c>
      <c r="H121" s="176" t="s">
        <v>97</v>
      </c>
      <c r="I121" s="176" t="s">
        <v>174</v>
      </c>
      <c r="J121" s="176" t="s">
        <v>386</v>
      </c>
      <c r="K121" s="176" t="s">
        <v>285</v>
      </c>
      <c r="L121" s="178" t="s">
        <v>101</v>
      </c>
      <c r="M121" s="178" t="s">
        <v>135</v>
      </c>
      <c r="N121" s="176" t="s">
        <v>97</v>
      </c>
      <c r="O121" s="176" t="s">
        <v>97</v>
      </c>
      <c r="P121" s="176" t="s">
        <v>96</v>
      </c>
      <c r="Q121" s="176" t="s">
        <v>115</v>
      </c>
      <c r="R121" s="176" t="s">
        <v>97</v>
      </c>
      <c r="S121" s="176" t="s">
        <v>381</v>
      </c>
      <c r="T121" s="176" t="s">
        <v>127</v>
      </c>
      <c r="U121" s="179" t="s">
        <v>140</v>
      </c>
      <c r="V121" s="166"/>
      <c r="W121" s="166"/>
      <c r="X121" s="166"/>
      <c r="Y121" s="166"/>
      <c r="Z121" s="166"/>
    </row>
    <row r="122">
      <c r="A122" s="172">
        <v>29</v>
      </c>
      <c r="B122" s="173" t="s">
        <v>537</v>
      </c>
      <c r="C122" s="172" t="s">
        <v>210</v>
      </c>
      <c r="D122" s="172" t="s">
        <v>211</v>
      </c>
      <c r="E122" s="172" t="s">
        <v>174</v>
      </c>
      <c r="F122" s="172" t="s">
        <v>97</v>
      </c>
      <c r="G122" s="172" t="s">
        <v>285</v>
      </c>
      <c r="H122" s="172" t="s">
        <v>97</v>
      </c>
      <c r="I122" s="172" t="s">
        <v>174</v>
      </c>
      <c r="J122" s="172" t="s">
        <v>150</v>
      </c>
      <c r="K122" s="172" t="s">
        <v>453</v>
      </c>
      <c r="L122" s="174" t="s">
        <v>538</v>
      </c>
      <c r="M122" s="174" t="s">
        <v>539</v>
      </c>
      <c r="N122" s="172" t="s">
        <v>97</v>
      </c>
      <c r="O122" s="172" t="s">
        <v>97</v>
      </c>
      <c r="P122" s="172" t="s">
        <v>96</v>
      </c>
      <c r="Q122" s="172" t="s">
        <v>115</v>
      </c>
      <c r="R122" s="172" t="s">
        <v>97</v>
      </c>
      <c r="S122" s="172" t="s">
        <v>187</v>
      </c>
      <c r="T122" s="172" t="s">
        <v>294</v>
      </c>
      <c r="U122" s="175" t="s">
        <v>182</v>
      </c>
      <c r="V122" s="166"/>
      <c r="W122" s="166"/>
      <c r="X122" s="166"/>
      <c r="Y122" s="166"/>
      <c r="Z122" s="166"/>
    </row>
    <row r="123">
      <c r="A123" s="176">
        <v>37</v>
      </c>
      <c r="B123" s="177" t="s">
        <v>540</v>
      </c>
      <c r="C123" s="176" t="s">
        <v>251</v>
      </c>
      <c r="D123" s="176" t="s">
        <v>283</v>
      </c>
      <c r="E123" s="176" t="s">
        <v>97</v>
      </c>
      <c r="F123" s="176" t="s">
        <v>97</v>
      </c>
      <c r="G123" s="176" t="s">
        <v>97</v>
      </c>
      <c r="H123" s="176" t="s">
        <v>97</v>
      </c>
      <c r="I123" s="176" t="s">
        <v>97</v>
      </c>
      <c r="J123" s="176" t="s">
        <v>326</v>
      </c>
      <c r="K123" s="176" t="s">
        <v>326</v>
      </c>
      <c r="L123" s="178" t="s">
        <v>145</v>
      </c>
      <c r="M123" s="178" t="s">
        <v>281</v>
      </c>
      <c r="N123" s="176" t="s">
        <v>97</v>
      </c>
      <c r="O123" s="176" t="s">
        <v>97</v>
      </c>
      <c r="P123" s="176" t="s">
        <v>97</v>
      </c>
      <c r="Q123" s="176" t="s">
        <v>97</v>
      </c>
      <c r="R123" s="176" t="s">
        <v>97</v>
      </c>
      <c r="S123" s="176" t="s">
        <v>97</v>
      </c>
      <c r="T123" s="176" t="s">
        <v>97</v>
      </c>
      <c r="U123" s="179" t="s">
        <v>97</v>
      </c>
      <c r="V123" s="166"/>
      <c r="W123" s="166"/>
      <c r="X123" s="166"/>
      <c r="Y123" s="166"/>
      <c r="Z123" s="166"/>
    </row>
    <row r="124">
      <c r="A124" s="172">
        <v>36</v>
      </c>
      <c r="B124" s="173" t="s">
        <v>541</v>
      </c>
      <c r="C124" s="172" t="s">
        <v>334</v>
      </c>
      <c r="D124" s="172" t="s">
        <v>542</v>
      </c>
      <c r="E124" s="172" t="s">
        <v>228</v>
      </c>
      <c r="F124" s="172" t="s">
        <v>97</v>
      </c>
      <c r="G124" s="172" t="s">
        <v>128</v>
      </c>
      <c r="H124" s="172" t="s">
        <v>97</v>
      </c>
      <c r="I124" s="172" t="s">
        <v>228</v>
      </c>
      <c r="J124" s="172" t="s">
        <v>213</v>
      </c>
      <c r="K124" s="172" t="s">
        <v>131</v>
      </c>
      <c r="L124" s="174" t="s">
        <v>336</v>
      </c>
      <c r="M124" s="174" t="s">
        <v>543</v>
      </c>
      <c r="N124" s="172" t="s">
        <v>97</v>
      </c>
      <c r="O124" s="172" t="s">
        <v>97</v>
      </c>
      <c r="P124" s="172" t="s">
        <v>244</v>
      </c>
      <c r="Q124" s="172" t="s">
        <v>115</v>
      </c>
      <c r="R124" s="172" t="s">
        <v>97</v>
      </c>
      <c r="S124" s="172" t="s">
        <v>221</v>
      </c>
      <c r="T124" s="172" t="s">
        <v>115</v>
      </c>
      <c r="U124" s="175" t="s">
        <v>140</v>
      </c>
      <c r="V124" s="166"/>
      <c r="W124" s="166"/>
      <c r="X124" s="166"/>
      <c r="Y124" s="166"/>
      <c r="Z124" s="166"/>
    </row>
    <row r="125">
      <c r="A125" s="176">
        <v>35</v>
      </c>
      <c r="B125" s="177" t="s">
        <v>544</v>
      </c>
      <c r="C125" s="176" t="s">
        <v>215</v>
      </c>
      <c r="D125" s="176" t="s">
        <v>216</v>
      </c>
      <c r="E125" s="176" t="s">
        <v>129</v>
      </c>
      <c r="F125" s="176" t="s">
        <v>97</v>
      </c>
      <c r="G125" s="176" t="s">
        <v>206</v>
      </c>
      <c r="H125" s="176" t="s">
        <v>97</v>
      </c>
      <c r="I125" s="176" t="s">
        <v>129</v>
      </c>
      <c r="J125" s="176" t="s">
        <v>190</v>
      </c>
      <c r="K125" s="176" t="s">
        <v>144</v>
      </c>
      <c r="L125" s="178" t="s">
        <v>276</v>
      </c>
      <c r="M125" s="178" t="s">
        <v>545</v>
      </c>
      <c r="N125" s="176" t="s">
        <v>97</v>
      </c>
      <c r="O125" s="176" t="s">
        <v>97</v>
      </c>
      <c r="P125" s="176" t="s">
        <v>117</v>
      </c>
      <c r="Q125" s="176" t="s">
        <v>140</v>
      </c>
      <c r="R125" s="176" t="s">
        <v>97</v>
      </c>
      <c r="S125" s="176" t="s">
        <v>291</v>
      </c>
      <c r="T125" s="176" t="s">
        <v>127</v>
      </c>
      <c r="U125" s="179" t="s">
        <v>97</v>
      </c>
      <c r="V125" s="166"/>
      <c r="W125" s="166"/>
      <c r="X125" s="166"/>
      <c r="Y125" s="166"/>
      <c r="Z125" s="166"/>
    </row>
    <row r="126">
      <c r="A126" s="172">
        <v>34</v>
      </c>
      <c r="B126" s="173" t="s">
        <v>546</v>
      </c>
      <c r="C126" s="172" t="s">
        <v>274</v>
      </c>
      <c r="D126" s="172" t="s">
        <v>304</v>
      </c>
      <c r="E126" s="172" t="s">
        <v>97</v>
      </c>
      <c r="F126" s="172" t="s">
        <v>97</v>
      </c>
      <c r="G126" s="172" t="s">
        <v>97</v>
      </c>
      <c r="H126" s="172" t="s">
        <v>97</v>
      </c>
      <c r="I126" s="172" t="s">
        <v>97</v>
      </c>
      <c r="J126" s="172" t="s">
        <v>196</v>
      </c>
      <c r="K126" s="172" t="s">
        <v>291</v>
      </c>
      <c r="L126" s="174"/>
      <c r="M126" s="174"/>
      <c r="N126" s="172" t="s">
        <v>97</v>
      </c>
      <c r="O126" s="172" t="s">
        <v>97</v>
      </c>
      <c r="P126" s="172" t="s">
        <v>160</v>
      </c>
      <c r="Q126" s="172" t="s">
        <v>115</v>
      </c>
      <c r="R126" s="172" t="s">
        <v>97</v>
      </c>
      <c r="S126" s="172" t="s">
        <v>173</v>
      </c>
      <c r="T126" s="172" t="s">
        <v>169</v>
      </c>
      <c r="U126" s="175" t="s">
        <v>140</v>
      </c>
      <c r="V126" s="166"/>
      <c r="W126" s="166"/>
      <c r="X126" s="166"/>
      <c r="Y126" s="166"/>
      <c r="Z126" s="166"/>
    </row>
    <row r="127">
      <c r="A127" s="176">
        <v>33</v>
      </c>
      <c r="B127" s="177" t="s">
        <v>547</v>
      </c>
      <c r="C127" s="176" t="s">
        <v>94</v>
      </c>
      <c r="D127" s="176" t="s">
        <v>95</v>
      </c>
      <c r="E127" s="176" t="s">
        <v>122</v>
      </c>
      <c r="F127" s="176" t="s">
        <v>140</v>
      </c>
      <c r="G127" s="176" t="s">
        <v>396</v>
      </c>
      <c r="H127" s="176" t="s">
        <v>140</v>
      </c>
      <c r="I127" s="176" t="s">
        <v>321</v>
      </c>
      <c r="J127" s="176" t="s">
        <v>378</v>
      </c>
      <c r="K127" s="176" t="s">
        <v>196</v>
      </c>
      <c r="L127" s="178" t="s">
        <v>171</v>
      </c>
      <c r="M127" s="178" t="s">
        <v>379</v>
      </c>
      <c r="N127" s="176" t="s">
        <v>97</v>
      </c>
      <c r="O127" s="176" t="s">
        <v>140</v>
      </c>
      <c r="P127" s="176" t="s">
        <v>127</v>
      </c>
      <c r="Q127" s="176" t="s">
        <v>160</v>
      </c>
      <c r="R127" s="176" t="s">
        <v>97</v>
      </c>
      <c r="S127" s="176" t="s">
        <v>199</v>
      </c>
      <c r="T127" s="176" t="s">
        <v>249</v>
      </c>
      <c r="U127" s="179" t="s">
        <v>97</v>
      </c>
      <c r="V127" s="166"/>
      <c r="W127" s="166"/>
      <c r="X127" s="166"/>
      <c r="Y127" s="166"/>
      <c r="Z127" s="166"/>
    </row>
    <row r="128">
      <c r="A128" s="172">
        <v>32</v>
      </c>
      <c r="B128" s="173" t="s">
        <v>548</v>
      </c>
      <c r="C128" s="172" t="s">
        <v>240</v>
      </c>
      <c r="D128" s="172" t="s">
        <v>230</v>
      </c>
      <c r="E128" s="172" t="s">
        <v>96</v>
      </c>
      <c r="F128" s="172" t="s">
        <v>115</v>
      </c>
      <c r="G128" s="172" t="s">
        <v>354</v>
      </c>
      <c r="H128" s="172" t="s">
        <v>115</v>
      </c>
      <c r="I128" s="172" t="s">
        <v>118</v>
      </c>
      <c r="J128" s="172" t="s">
        <v>170</v>
      </c>
      <c r="K128" s="172" t="s">
        <v>549</v>
      </c>
      <c r="L128" s="174" t="s">
        <v>550</v>
      </c>
      <c r="M128" s="174" t="s">
        <v>551</v>
      </c>
      <c r="N128" s="172" t="s">
        <v>140</v>
      </c>
      <c r="O128" s="172" t="s">
        <v>140</v>
      </c>
      <c r="P128" s="172" t="s">
        <v>115</v>
      </c>
      <c r="Q128" s="172" t="s">
        <v>115</v>
      </c>
      <c r="R128" s="172" t="s">
        <v>97</v>
      </c>
      <c r="S128" s="172" t="s">
        <v>310</v>
      </c>
      <c r="T128" s="172" t="s">
        <v>115</v>
      </c>
      <c r="U128" s="175" t="s">
        <v>115</v>
      </c>
      <c r="V128" s="166"/>
      <c r="W128" s="166"/>
      <c r="X128" s="166"/>
      <c r="Y128" s="166"/>
      <c r="Z128" s="166"/>
    </row>
    <row r="129">
      <c r="A129" s="176">
        <v>31</v>
      </c>
      <c r="B129" s="177" t="s">
        <v>552</v>
      </c>
      <c r="C129" s="176" t="s">
        <v>274</v>
      </c>
      <c r="D129" s="176" t="s">
        <v>275</v>
      </c>
      <c r="E129" s="176" t="s">
        <v>114</v>
      </c>
      <c r="F129" s="176" t="s">
        <v>97</v>
      </c>
      <c r="G129" s="176" t="s">
        <v>100</v>
      </c>
      <c r="H129" s="176" t="s">
        <v>97</v>
      </c>
      <c r="I129" s="176" t="s">
        <v>114</v>
      </c>
      <c r="J129" s="176" t="s">
        <v>110</v>
      </c>
      <c r="K129" s="176" t="s">
        <v>327</v>
      </c>
      <c r="L129" s="178" t="s">
        <v>336</v>
      </c>
      <c r="M129" s="178" t="s">
        <v>553</v>
      </c>
      <c r="N129" s="176" t="s">
        <v>97</v>
      </c>
      <c r="O129" s="176" t="s">
        <v>97</v>
      </c>
      <c r="P129" s="176" t="s">
        <v>114</v>
      </c>
      <c r="Q129" s="176" t="s">
        <v>97</v>
      </c>
      <c r="R129" s="176" t="s">
        <v>97</v>
      </c>
      <c r="S129" s="176" t="s">
        <v>170</v>
      </c>
      <c r="T129" s="176" t="s">
        <v>158</v>
      </c>
      <c r="U129" s="179" t="s">
        <v>97</v>
      </c>
      <c r="V129" s="166"/>
      <c r="W129" s="166"/>
      <c r="X129" s="166"/>
      <c r="Y129" s="166"/>
      <c r="Z129" s="166"/>
    </row>
    <row r="130">
      <c r="A130" s="172">
        <v>27</v>
      </c>
      <c r="B130" s="173" t="s">
        <v>554</v>
      </c>
      <c r="C130" s="172" t="s">
        <v>555</v>
      </c>
      <c r="D130" s="172" t="s">
        <v>556</v>
      </c>
      <c r="E130" s="172" t="s">
        <v>129</v>
      </c>
      <c r="F130" s="172" t="s">
        <v>97</v>
      </c>
      <c r="G130" s="172" t="s">
        <v>206</v>
      </c>
      <c r="H130" s="172" t="s">
        <v>97</v>
      </c>
      <c r="I130" s="172" t="s">
        <v>129</v>
      </c>
      <c r="J130" s="172" t="s">
        <v>557</v>
      </c>
      <c r="K130" s="172" t="s">
        <v>103</v>
      </c>
      <c r="L130" s="174" t="s">
        <v>558</v>
      </c>
      <c r="M130" s="174" t="s">
        <v>135</v>
      </c>
      <c r="N130" s="172" t="s">
        <v>97</v>
      </c>
      <c r="O130" s="172" t="s">
        <v>97</v>
      </c>
      <c r="P130" s="172" t="s">
        <v>174</v>
      </c>
      <c r="Q130" s="172" t="s">
        <v>118</v>
      </c>
      <c r="R130" s="172" t="s">
        <v>97</v>
      </c>
      <c r="S130" s="172" t="s">
        <v>220</v>
      </c>
      <c r="T130" s="172" t="s">
        <v>170</v>
      </c>
      <c r="U130" s="175" t="s">
        <v>97</v>
      </c>
      <c r="V130" s="166"/>
      <c r="W130" s="166"/>
      <c r="X130" s="166"/>
      <c r="Y130" s="166"/>
      <c r="Z130" s="166"/>
    </row>
    <row r="131">
      <c r="A131" s="176">
        <v>26</v>
      </c>
      <c r="B131" s="177" t="s">
        <v>559</v>
      </c>
      <c r="C131" s="176" t="s">
        <v>251</v>
      </c>
      <c r="D131" s="176" t="s">
        <v>283</v>
      </c>
      <c r="E131" s="176" t="s">
        <v>97</v>
      </c>
      <c r="F131" s="176" t="s">
        <v>97</v>
      </c>
      <c r="G131" s="176" t="s">
        <v>110</v>
      </c>
      <c r="H131" s="176" t="s">
        <v>326</v>
      </c>
      <c r="I131" s="176" t="s">
        <v>326</v>
      </c>
      <c r="J131" s="176" t="s">
        <v>200</v>
      </c>
      <c r="K131" s="176" t="s">
        <v>190</v>
      </c>
      <c r="L131" s="178" t="s">
        <v>560</v>
      </c>
      <c r="M131" s="178" t="s">
        <v>561</v>
      </c>
      <c r="N131" s="176" t="s">
        <v>97</v>
      </c>
      <c r="O131" s="176" t="s">
        <v>97</v>
      </c>
      <c r="P131" s="176" t="s">
        <v>97</v>
      </c>
      <c r="Q131" s="176" t="s">
        <v>97</v>
      </c>
      <c r="R131" s="176" t="s">
        <v>326</v>
      </c>
      <c r="S131" s="176" t="s">
        <v>118</v>
      </c>
      <c r="T131" s="176" t="s">
        <v>118</v>
      </c>
      <c r="U131" s="179" t="s">
        <v>97</v>
      </c>
      <c r="V131" s="166"/>
      <c r="W131" s="166"/>
      <c r="X131" s="166"/>
      <c r="Y131" s="166"/>
      <c r="Z131" s="166"/>
    </row>
    <row r="132">
      <c r="A132" s="172">
        <v>25</v>
      </c>
      <c r="B132" s="173" t="s">
        <v>562</v>
      </c>
      <c r="C132" s="172" t="s">
        <v>318</v>
      </c>
      <c r="D132" s="172" t="s">
        <v>107</v>
      </c>
      <c r="E132" s="172" t="s">
        <v>118</v>
      </c>
      <c r="F132" s="172" t="s">
        <v>97</v>
      </c>
      <c r="G132" s="172" t="s">
        <v>168</v>
      </c>
      <c r="H132" s="172" t="s">
        <v>97</v>
      </c>
      <c r="I132" s="172" t="s">
        <v>118</v>
      </c>
      <c r="J132" s="172" t="s">
        <v>285</v>
      </c>
      <c r="K132" s="172" t="s">
        <v>188</v>
      </c>
      <c r="L132" s="174" t="s">
        <v>563</v>
      </c>
      <c r="M132" s="174" t="s">
        <v>564</v>
      </c>
      <c r="N132" s="172" t="s">
        <v>97</v>
      </c>
      <c r="O132" s="172" t="s">
        <v>97</v>
      </c>
      <c r="P132" s="172" t="s">
        <v>114</v>
      </c>
      <c r="Q132" s="172" t="s">
        <v>140</v>
      </c>
      <c r="R132" s="172" t="s">
        <v>97</v>
      </c>
      <c r="S132" s="172" t="s">
        <v>116</v>
      </c>
      <c r="T132" s="172" t="s">
        <v>174</v>
      </c>
      <c r="U132" s="175" t="s">
        <v>204</v>
      </c>
      <c r="V132" s="166"/>
      <c r="W132" s="166"/>
      <c r="X132" s="166"/>
      <c r="Y132" s="166"/>
      <c r="Z132" s="166"/>
    </row>
    <row r="133">
      <c r="A133" s="176">
        <v>24</v>
      </c>
      <c r="B133" s="177" t="s">
        <v>565</v>
      </c>
      <c r="C133" s="176" t="s">
        <v>215</v>
      </c>
      <c r="D133" s="176" t="s">
        <v>248</v>
      </c>
      <c r="E133" s="176" t="s">
        <v>96</v>
      </c>
      <c r="F133" s="176" t="s">
        <v>97</v>
      </c>
      <c r="G133" s="176" t="s">
        <v>161</v>
      </c>
      <c r="H133" s="176" t="s">
        <v>97</v>
      </c>
      <c r="I133" s="176" t="s">
        <v>96</v>
      </c>
      <c r="J133" s="176" t="s">
        <v>167</v>
      </c>
      <c r="K133" s="176" t="s">
        <v>204</v>
      </c>
      <c r="L133" s="178" t="s">
        <v>201</v>
      </c>
      <c r="M133" s="178" t="s">
        <v>379</v>
      </c>
      <c r="N133" s="176" t="s">
        <v>97</v>
      </c>
      <c r="O133" s="176" t="s">
        <v>97</v>
      </c>
      <c r="P133" s="176" t="s">
        <v>118</v>
      </c>
      <c r="Q133" s="176" t="s">
        <v>115</v>
      </c>
      <c r="R133" s="176" t="s">
        <v>97</v>
      </c>
      <c r="S133" s="176" t="s">
        <v>129</v>
      </c>
      <c r="T133" s="176" t="s">
        <v>193</v>
      </c>
      <c r="U133" s="179" t="s">
        <v>198</v>
      </c>
      <c r="V133" s="166"/>
      <c r="W133" s="166"/>
      <c r="X133" s="166"/>
      <c r="Y133" s="166"/>
      <c r="Z133" s="166"/>
    </row>
    <row r="134">
      <c r="A134" s="172">
        <v>23</v>
      </c>
      <c r="B134" s="173" t="s">
        <v>566</v>
      </c>
      <c r="C134" s="172" t="s">
        <v>166</v>
      </c>
      <c r="D134" s="172" t="s">
        <v>167</v>
      </c>
      <c r="E134" s="172" t="s">
        <v>160</v>
      </c>
      <c r="F134" s="172" t="s">
        <v>97</v>
      </c>
      <c r="G134" s="172" t="s">
        <v>98</v>
      </c>
      <c r="H134" s="172" t="s">
        <v>97</v>
      </c>
      <c r="I134" s="172" t="s">
        <v>160</v>
      </c>
      <c r="J134" s="172" t="s">
        <v>148</v>
      </c>
      <c r="K134" s="172" t="s">
        <v>335</v>
      </c>
      <c r="L134" s="174" t="s">
        <v>567</v>
      </c>
      <c r="M134" s="174" t="s">
        <v>568</v>
      </c>
      <c r="N134" s="172" t="s">
        <v>97</v>
      </c>
      <c r="O134" s="172" t="s">
        <v>97</v>
      </c>
      <c r="P134" s="172" t="s">
        <v>118</v>
      </c>
      <c r="Q134" s="172" t="s">
        <v>114</v>
      </c>
      <c r="R134" s="172" t="s">
        <v>97</v>
      </c>
      <c r="S134" s="172" t="s">
        <v>204</v>
      </c>
      <c r="T134" s="172" t="s">
        <v>278</v>
      </c>
      <c r="U134" s="175" t="s">
        <v>284</v>
      </c>
      <c r="V134" s="166"/>
      <c r="W134" s="166"/>
      <c r="X134" s="166"/>
      <c r="Y134" s="166"/>
      <c r="Z134" s="166"/>
    </row>
    <row r="135">
      <c r="A135" s="176">
        <v>22</v>
      </c>
      <c r="B135" s="177" t="s">
        <v>569</v>
      </c>
      <c r="C135" s="176" t="s">
        <v>148</v>
      </c>
      <c r="D135" s="176" t="s">
        <v>149</v>
      </c>
      <c r="E135" s="176" t="s">
        <v>392</v>
      </c>
      <c r="F135" s="176" t="s">
        <v>140</v>
      </c>
      <c r="G135" s="176" t="s">
        <v>387</v>
      </c>
      <c r="H135" s="176" t="s">
        <v>140</v>
      </c>
      <c r="I135" s="176" t="s">
        <v>462</v>
      </c>
      <c r="J135" s="176" t="s">
        <v>347</v>
      </c>
      <c r="K135" s="176" t="s">
        <v>94</v>
      </c>
      <c r="L135" s="178" t="s">
        <v>134</v>
      </c>
      <c r="M135" s="178" t="s">
        <v>135</v>
      </c>
      <c r="N135" s="176" t="s">
        <v>97</v>
      </c>
      <c r="O135" s="176" t="s">
        <v>140</v>
      </c>
      <c r="P135" s="176" t="s">
        <v>173</v>
      </c>
      <c r="Q135" s="176" t="s">
        <v>302</v>
      </c>
      <c r="R135" s="176" t="s">
        <v>97</v>
      </c>
      <c r="S135" s="176" t="s">
        <v>193</v>
      </c>
      <c r="T135" s="176" t="s">
        <v>96</v>
      </c>
      <c r="U135" s="179" t="s">
        <v>97</v>
      </c>
      <c r="V135" s="166"/>
      <c r="W135" s="166"/>
      <c r="X135" s="166"/>
      <c r="Y135" s="166"/>
      <c r="Z135" s="166"/>
    </row>
    <row r="136">
      <c r="A136" s="172">
        <v>21</v>
      </c>
      <c r="B136" s="173" t="s">
        <v>570</v>
      </c>
      <c r="C136" s="172" t="s">
        <v>120</v>
      </c>
      <c r="D136" s="172" t="s">
        <v>121</v>
      </c>
      <c r="E136" s="172" t="s">
        <v>213</v>
      </c>
      <c r="F136" s="172" t="s">
        <v>97</v>
      </c>
      <c r="G136" s="172" t="s">
        <v>392</v>
      </c>
      <c r="H136" s="172" t="s">
        <v>97</v>
      </c>
      <c r="I136" s="172" t="s">
        <v>213</v>
      </c>
      <c r="J136" s="172" t="s">
        <v>228</v>
      </c>
      <c r="K136" s="172" t="s">
        <v>374</v>
      </c>
      <c r="L136" s="174" t="s">
        <v>234</v>
      </c>
      <c r="M136" s="174" t="s">
        <v>379</v>
      </c>
      <c r="N136" s="172" t="s">
        <v>97</v>
      </c>
      <c r="O136" s="172" t="s">
        <v>97</v>
      </c>
      <c r="P136" s="172" t="s">
        <v>96</v>
      </c>
      <c r="Q136" s="172" t="s">
        <v>310</v>
      </c>
      <c r="R136" s="172" t="s">
        <v>97</v>
      </c>
      <c r="S136" s="172" t="s">
        <v>155</v>
      </c>
      <c r="T136" s="172" t="s">
        <v>115</v>
      </c>
      <c r="U136" s="175" t="s">
        <v>97</v>
      </c>
      <c r="V136" s="166"/>
      <c r="W136" s="166"/>
      <c r="X136" s="166"/>
      <c r="Y136" s="166"/>
      <c r="Z136" s="166"/>
    </row>
    <row r="137">
      <c r="A137" s="176">
        <v>20</v>
      </c>
      <c r="B137" s="177" t="s">
        <v>571</v>
      </c>
      <c r="C137" s="176" t="s">
        <v>166</v>
      </c>
      <c r="D137" s="176" t="s">
        <v>167</v>
      </c>
      <c r="E137" s="176" t="s">
        <v>203</v>
      </c>
      <c r="F137" s="176" t="s">
        <v>97</v>
      </c>
      <c r="G137" s="176" t="s">
        <v>381</v>
      </c>
      <c r="H137" s="176" t="s">
        <v>97</v>
      </c>
      <c r="I137" s="176" t="s">
        <v>203</v>
      </c>
      <c r="J137" s="176" t="s">
        <v>157</v>
      </c>
      <c r="K137" s="176" t="s">
        <v>432</v>
      </c>
      <c r="L137" s="178" t="s">
        <v>572</v>
      </c>
      <c r="M137" s="178" t="s">
        <v>573</v>
      </c>
      <c r="N137" s="176" t="s">
        <v>97</v>
      </c>
      <c r="O137" s="176" t="s">
        <v>97</v>
      </c>
      <c r="P137" s="176" t="s">
        <v>176</v>
      </c>
      <c r="Q137" s="176" t="s">
        <v>249</v>
      </c>
      <c r="R137" s="176" t="s">
        <v>97</v>
      </c>
      <c r="S137" s="176" t="s">
        <v>387</v>
      </c>
      <c r="T137" s="176" t="s">
        <v>302</v>
      </c>
      <c r="U137" s="179" t="s">
        <v>97</v>
      </c>
      <c r="V137" s="166"/>
      <c r="W137" s="166"/>
      <c r="X137" s="166"/>
      <c r="Y137" s="166"/>
      <c r="Z137" s="166"/>
    </row>
    <row r="138">
      <c r="A138" s="172">
        <v>19</v>
      </c>
      <c r="B138" s="173" t="s">
        <v>574</v>
      </c>
      <c r="C138" s="172" t="s">
        <v>120</v>
      </c>
      <c r="D138" s="172" t="s">
        <v>121</v>
      </c>
      <c r="E138" s="172" t="s">
        <v>173</v>
      </c>
      <c r="F138" s="172" t="s">
        <v>97</v>
      </c>
      <c r="G138" s="172" t="s">
        <v>157</v>
      </c>
      <c r="H138" s="172" t="s">
        <v>97</v>
      </c>
      <c r="I138" s="172" t="s">
        <v>114</v>
      </c>
      <c r="J138" s="172" t="s">
        <v>359</v>
      </c>
      <c r="K138" s="172" t="s">
        <v>378</v>
      </c>
      <c r="L138" s="174" t="s">
        <v>575</v>
      </c>
      <c r="M138" s="174" t="s">
        <v>379</v>
      </c>
      <c r="N138" s="172" t="s">
        <v>97</v>
      </c>
      <c r="O138" s="172" t="s">
        <v>212</v>
      </c>
      <c r="P138" s="172" t="s">
        <v>270</v>
      </c>
      <c r="Q138" s="172" t="s">
        <v>115</v>
      </c>
      <c r="R138" s="172" t="s">
        <v>97</v>
      </c>
      <c r="S138" s="172" t="s">
        <v>158</v>
      </c>
      <c r="T138" s="172" t="s">
        <v>115</v>
      </c>
      <c r="U138" s="175" t="s">
        <v>140</v>
      </c>
      <c r="V138" s="166"/>
      <c r="W138" s="166"/>
      <c r="X138" s="166"/>
      <c r="Y138" s="166"/>
      <c r="Z138" s="166"/>
    </row>
    <row r="139">
      <c r="A139" s="176">
        <v>8</v>
      </c>
      <c r="B139" s="177" t="s">
        <v>576</v>
      </c>
      <c r="C139" s="176" t="s">
        <v>166</v>
      </c>
      <c r="D139" s="176" t="s">
        <v>167</v>
      </c>
      <c r="E139" s="176" t="s">
        <v>187</v>
      </c>
      <c r="F139" s="176" t="s">
        <v>97</v>
      </c>
      <c r="G139" s="176" t="s">
        <v>354</v>
      </c>
      <c r="H139" s="176" t="s">
        <v>97</v>
      </c>
      <c r="I139" s="176" t="s">
        <v>187</v>
      </c>
      <c r="J139" s="176" t="s">
        <v>123</v>
      </c>
      <c r="K139" s="176" t="s">
        <v>188</v>
      </c>
      <c r="L139" s="178" t="s">
        <v>171</v>
      </c>
      <c r="M139" s="178" t="s">
        <v>577</v>
      </c>
      <c r="N139" s="176" t="s">
        <v>97</v>
      </c>
      <c r="O139" s="176" t="s">
        <v>97</v>
      </c>
      <c r="P139" s="176" t="s">
        <v>204</v>
      </c>
      <c r="Q139" s="176" t="s">
        <v>212</v>
      </c>
      <c r="R139" s="176" t="s">
        <v>97</v>
      </c>
      <c r="S139" s="176" t="s">
        <v>155</v>
      </c>
      <c r="T139" s="176" t="s">
        <v>260</v>
      </c>
      <c r="U139" s="179" t="s">
        <v>97</v>
      </c>
      <c r="V139" s="166"/>
      <c r="W139" s="166"/>
      <c r="X139" s="166"/>
      <c r="Y139" s="166"/>
      <c r="Z139" s="166"/>
    </row>
    <row r="140">
      <c r="A140" s="172">
        <v>18</v>
      </c>
      <c r="B140" s="173" t="s">
        <v>578</v>
      </c>
      <c r="C140" s="172" t="s">
        <v>185</v>
      </c>
      <c r="D140" s="172" t="s">
        <v>186</v>
      </c>
      <c r="E140" s="172" t="s">
        <v>294</v>
      </c>
      <c r="F140" s="172" t="s">
        <v>97</v>
      </c>
      <c r="G140" s="172" t="s">
        <v>180</v>
      </c>
      <c r="H140" s="172" t="s">
        <v>97</v>
      </c>
      <c r="I140" s="172" t="s">
        <v>294</v>
      </c>
      <c r="J140" s="172" t="s">
        <v>557</v>
      </c>
      <c r="K140" s="172" t="s">
        <v>128</v>
      </c>
      <c r="L140" s="174" t="s">
        <v>579</v>
      </c>
      <c r="M140" s="174" t="s">
        <v>580</v>
      </c>
      <c r="N140" s="172" t="s">
        <v>97</v>
      </c>
      <c r="O140" s="172" t="s">
        <v>97</v>
      </c>
      <c r="P140" s="172" t="s">
        <v>117</v>
      </c>
      <c r="Q140" s="172" t="s">
        <v>212</v>
      </c>
      <c r="R140" s="172" t="s">
        <v>97</v>
      </c>
      <c r="S140" s="172" t="s">
        <v>243</v>
      </c>
      <c r="T140" s="172" t="s">
        <v>213</v>
      </c>
      <c r="U140" s="175" t="s">
        <v>174</v>
      </c>
      <c r="V140" s="166"/>
      <c r="W140" s="166"/>
      <c r="X140" s="166"/>
      <c r="Y140" s="166"/>
      <c r="Z140" s="166"/>
    </row>
    <row r="141">
      <c r="A141" s="176">
        <v>17</v>
      </c>
      <c r="B141" s="177" t="s">
        <v>581</v>
      </c>
      <c r="C141" s="176" t="s">
        <v>185</v>
      </c>
      <c r="D141" s="176" t="s">
        <v>186</v>
      </c>
      <c r="E141" s="176" t="s">
        <v>243</v>
      </c>
      <c r="F141" s="176" t="s">
        <v>97</v>
      </c>
      <c r="G141" s="176" t="s">
        <v>255</v>
      </c>
      <c r="H141" s="176" t="s">
        <v>97</v>
      </c>
      <c r="I141" s="176" t="s">
        <v>243</v>
      </c>
      <c r="J141" s="176" t="s">
        <v>305</v>
      </c>
      <c r="K141" s="176" t="s">
        <v>524</v>
      </c>
      <c r="L141" s="178" t="s">
        <v>582</v>
      </c>
      <c r="M141" s="178" t="s">
        <v>580</v>
      </c>
      <c r="N141" s="176" t="s">
        <v>97</v>
      </c>
      <c r="O141" s="176" t="s">
        <v>97</v>
      </c>
      <c r="P141" s="176" t="s">
        <v>176</v>
      </c>
      <c r="Q141" s="176" t="s">
        <v>187</v>
      </c>
      <c r="R141" s="176" t="s">
        <v>97</v>
      </c>
      <c r="S141" s="176" t="s">
        <v>462</v>
      </c>
      <c r="T141" s="176" t="s">
        <v>160</v>
      </c>
      <c r="U141" s="179" t="s">
        <v>140</v>
      </c>
      <c r="V141" s="166"/>
      <c r="W141" s="166"/>
      <c r="X141" s="166"/>
      <c r="Y141" s="166"/>
      <c r="Z141" s="166"/>
    </row>
    <row r="142">
      <c r="A142" s="172">
        <v>16</v>
      </c>
      <c r="B142" s="173" t="s">
        <v>583</v>
      </c>
      <c r="C142" s="172" t="s">
        <v>185</v>
      </c>
      <c r="D142" s="172" t="s">
        <v>186</v>
      </c>
      <c r="E142" s="172" t="s">
        <v>110</v>
      </c>
      <c r="F142" s="172" t="s">
        <v>97</v>
      </c>
      <c r="G142" s="172" t="s">
        <v>97</v>
      </c>
      <c r="H142" s="172" t="s">
        <v>97</v>
      </c>
      <c r="I142" s="172" t="s">
        <v>110</v>
      </c>
      <c r="J142" s="172" t="s">
        <v>140</v>
      </c>
      <c r="K142" s="172" t="s">
        <v>186</v>
      </c>
      <c r="L142" s="174" t="s">
        <v>582</v>
      </c>
      <c r="M142" s="174" t="s">
        <v>580</v>
      </c>
      <c r="N142" s="172" t="s">
        <v>97</v>
      </c>
      <c r="O142" s="172" t="s">
        <v>97</v>
      </c>
      <c r="P142" s="172" t="s">
        <v>117</v>
      </c>
      <c r="Q142" s="172" t="s">
        <v>285</v>
      </c>
      <c r="R142" s="172" t="s">
        <v>97</v>
      </c>
      <c r="S142" s="172" t="s">
        <v>97</v>
      </c>
      <c r="T142" s="172" t="s">
        <v>97</v>
      </c>
      <c r="U142" s="175" t="s">
        <v>97</v>
      </c>
      <c r="V142" s="166"/>
      <c r="W142" s="166"/>
      <c r="X142" s="166"/>
      <c r="Y142" s="166"/>
      <c r="Z142" s="166"/>
    </row>
    <row r="143">
      <c r="A143" s="176">
        <v>15</v>
      </c>
      <c r="B143" s="177" t="s">
        <v>584</v>
      </c>
      <c r="C143" s="176" t="s">
        <v>215</v>
      </c>
      <c r="D143" s="176" t="s">
        <v>248</v>
      </c>
      <c r="E143" s="176" t="s">
        <v>183</v>
      </c>
      <c r="F143" s="176" t="s">
        <v>140</v>
      </c>
      <c r="G143" s="176" t="s">
        <v>328</v>
      </c>
      <c r="H143" s="176" t="s">
        <v>140</v>
      </c>
      <c r="I143" s="176" t="s">
        <v>127</v>
      </c>
      <c r="J143" s="176" t="s">
        <v>99</v>
      </c>
      <c r="K143" s="176" t="s">
        <v>285</v>
      </c>
      <c r="L143" s="178" t="s">
        <v>171</v>
      </c>
      <c r="M143" s="178" t="s">
        <v>135</v>
      </c>
      <c r="N143" s="176" t="s">
        <v>97</v>
      </c>
      <c r="O143" s="176" t="s">
        <v>140</v>
      </c>
      <c r="P143" s="176" t="s">
        <v>217</v>
      </c>
      <c r="Q143" s="176" t="s">
        <v>114</v>
      </c>
      <c r="R143" s="176" t="s">
        <v>97</v>
      </c>
      <c r="S143" s="176" t="s">
        <v>199</v>
      </c>
      <c r="T143" s="176" t="s">
        <v>194</v>
      </c>
      <c r="U143" s="179" t="s">
        <v>115</v>
      </c>
      <c r="V143" s="166"/>
      <c r="W143" s="166"/>
      <c r="X143" s="166"/>
      <c r="Y143" s="166"/>
      <c r="Z143" s="166"/>
    </row>
    <row r="144">
      <c r="A144" s="172">
        <v>14</v>
      </c>
      <c r="B144" s="173" t="s">
        <v>585</v>
      </c>
      <c r="C144" s="172" t="s">
        <v>185</v>
      </c>
      <c r="D144" s="172" t="s">
        <v>179</v>
      </c>
      <c r="E144" s="172" t="s">
        <v>220</v>
      </c>
      <c r="F144" s="172" t="s">
        <v>97</v>
      </c>
      <c r="G144" s="172" t="s">
        <v>224</v>
      </c>
      <c r="H144" s="172" t="s">
        <v>97</v>
      </c>
      <c r="I144" s="172" t="s">
        <v>220</v>
      </c>
      <c r="J144" s="172" t="s">
        <v>188</v>
      </c>
      <c r="K144" s="172" t="s">
        <v>299</v>
      </c>
      <c r="L144" s="174" t="s">
        <v>101</v>
      </c>
      <c r="M144" s="174" t="s">
        <v>586</v>
      </c>
      <c r="N144" s="172" t="s">
        <v>97</v>
      </c>
      <c r="O144" s="172" t="s">
        <v>97</v>
      </c>
      <c r="P144" s="172" t="s">
        <v>97</v>
      </c>
      <c r="Q144" s="172" t="s">
        <v>96</v>
      </c>
      <c r="R144" s="172" t="s">
        <v>97</v>
      </c>
      <c r="S144" s="172" t="s">
        <v>170</v>
      </c>
      <c r="T144" s="172" t="s">
        <v>117</v>
      </c>
      <c r="U144" s="175" t="s">
        <v>97</v>
      </c>
      <c r="V144" s="166"/>
      <c r="W144" s="166"/>
      <c r="X144" s="166"/>
      <c r="Y144" s="166"/>
      <c r="Z144" s="166"/>
    </row>
    <row r="145">
      <c r="A145" s="176">
        <v>12</v>
      </c>
      <c r="B145" s="177" t="s">
        <v>587</v>
      </c>
      <c r="C145" s="176" t="s">
        <v>237</v>
      </c>
      <c r="D145" s="176" t="s">
        <v>137</v>
      </c>
      <c r="E145" s="176" t="s">
        <v>221</v>
      </c>
      <c r="F145" s="176" t="s">
        <v>174</v>
      </c>
      <c r="G145" s="176" t="s">
        <v>155</v>
      </c>
      <c r="H145" s="176" t="s">
        <v>174</v>
      </c>
      <c r="I145" s="176" t="s">
        <v>213</v>
      </c>
      <c r="J145" s="176" t="s">
        <v>313</v>
      </c>
      <c r="K145" s="176" t="s">
        <v>153</v>
      </c>
      <c r="L145" s="178" t="s">
        <v>234</v>
      </c>
      <c r="M145" s="178" t="s">
        <v>135</v>
      </c>
      <c r="N145" s="176" t="s">
        <v>115</v>
      </c>
      <c r="O145" s="176" t="s">
        <v>96</v>
      </c>
      <c r="P145" s="176" t="s">
        <v>173</v>
      </c>
      <c r="Q145" s="176" t="s">
        <v>217</v>
      </c>
      <c r="R145" s="176" t="s">
        <v>97</v>
      </c>
      <c r="S145" s="176" t="s">
        <v>168</v>
      </c>
      <c r="T145" s="176" t="s">
        <v>114</v>
      </c>
      <c r="U145" s="179" t="s">
        <v>140</v>
      </c>
      <c r="V145" s="166"/>
      <c r="W145" s="166"/>
      <c r="X145" s="166"/>
      <c r="Y145" s="166"/>
      <c r="Z145" s="166"/>
    </row>
    <row r="146">
      <c r="A146" s="172">
        <v>11</v>
      </c>
      <c r="B146" s="173" t="s">
        <v>588</v>
      </c>
      <c r="C146" s="172" t="s">
        <v>210</v>
      </c>
      <c r="D146" s="172" t="s">
        <v>304</v>
      </c>
      <c r="E146" s="172" t="s">
        <v>313</v>
      </c>
      <c r="F146" s="172" t="s">
        <v>140</v>
      </c>
      <c r="G146" s="172" t="s">
        <v>284</v>
      </c>
      <c r="H146" s="172" t="s">
        <v>140</v>
      </c>
      <c r="I146" s="172" t="s">
        <v>310</v>
      </c>
      <c r="J146" s="172" t="s">
        <v>198</v>
      </c>
      <c r="K146" s="172" t="s">
        <v>589</v>
      </c>
      <c r="L146" s="174" t="s">
        <v>234</v>
      </c>
      <c r="M146" s="174" t="s">
        <v>135</v>
      </c>
      <c r="N146" s="172" t="s">
        <v>97</v>
      </c>
      <c r="O146" s="172" t="s">
        <v>140</v>
      </c>
      <c r="P146" s="172" t="s">
        <v>220</v>
      </c>
      <c r="Q146" s="172" t="s">
        <v>243</v>
      </c>
      <c r="R146" s="172" t="s">
        <v>97</v>
      </c>
      <c r="S146" s="172" t="s">
        <v>203</v>
      </c>
      <c r="T146" s="172" t="s">
        <v>187</v>
      </c>
      <c r="U146" s="175" t="s">
        <v>114</v>
      </c>
      <c r="V146" s="166"/>
      <c r="W146" s="166"/>
      <c r="X146" s="166"/>
      <c r="Y146" s="166"/>
      <c r="Z146" s="166"/>
    </row>
    <row r="147">
      <c r="A147" s="176">
        <v>10</v>
      </c>
      <c r="B147" s="177" t="s">
        <v>590</v>
      </c>
      <c r="C147" s="176" t="s">
        <v>178</v>
      </c>
      <c r="D147" s="176" t="s">
        <v>179</v>
      </c>
      <c r="E147" s="176" t="s">
        <v>378</v>
      </c>
      <c r="F147" s="176" t="s">
        <v>294</v>
      </c>
      <c r="G147" s="176" t="s">
        <v>198</v>
      </c>
      <c r="H147" s="176" t="s">
        <v>294</v>
      </c>
      <c r="I147" s="176" t="s">
        <v>513</v>
      </c>
      <c r="J147" s="176" t="s">
        <v>155</v>
      </c>
      <c r="K147" s="176" t="s">
        <v>422</v>
      </c>
      <c r="L147" s="178" t="s">
        <v>234</v>
      </c>
      <c r="M147" s="178" t="s">
        <v>135</v>
      </c>
      <c r="N147" s="176" t="s">
        <v>212</v>
      </c>
      <c r="O147" s="176" t="s">
        <v>117</v>
      </c>
      <c r="P147" s="176" t="s">
        <v>158</v>
      </c>
      <c r="Q147" s="176" t="s">
        <v>203</v>
      </c>
      <c r="R147" s="176" t="s">
        <v>97</v>
      </c>
      <c r="S147" s="176" t="s">
        <v>238</v>
      </c>
      <c r="T147" s="176" t="s">
        <v>115</v>
      </c>
      <c r="U147" s="179" t="s">
        <v>97</v>
      </c>
      <c r="V147" s="166"/>
      <c r="W147" s="166"/>
      <c r="X147" s="166"/>
      <c r="Y147" s="166"/>
      <c r="Z147" s="166"/>
    </row>
    <row r="148">
      <c r="A148" s="172">
        <v>9</v>
      </c>
      <c r="B148" s="173" t="s">
        <v>591</v>
      </c>
      <c r="C148" s="172" t="s">
        <v>274</v>
      </c>
      <c r="D148" s="172" t="s">
        <v>275</v>
      </c>
      <c r="E148" s="172" t="s">
        <v>175</v>
      </c>
      <c r="F148" s="172" t="s">
        <v>189</v>
      </c>
      <c r="G148" s="172" t="s">
        <v>198</v>
      </c>
      <c r="H148" s="172" t="s">
        <v>189</v>
      </c>
      <c r="I148" s="172" t="s">
        <v>244</v>
      </c>
      <c r="J148" s="172" t="s">
        <v>390</v>
      </c>
      <c r="K148" s="172" t="s">
        <v>592</v>
      </c>
      <c r="L148" s="174" t="s">
        <v>234</v>
      </c>
      <c r="M148" s="174" t="s">
        <v>135</v>
      </c>
      <c r="N148" s="172" t="s">
        <v>118</v>
      </c>
      <c r="O148" s="172" t="s">
        <v>204</v>
      </c>
      <c r="P148" s="172" t="s">
        <v>243</v>
      </c>
      <c r="Q148" s="172" t="s">
        <v>302</v>
      </c>
      <c r="R148" s="172" t="s">
        <v>97</v>
      </c>
      <c r="S148" s="172" t="s">
        <v>183</v>
      </c>
      <c r="T148" s="172" t="s">
        <v>212</v>
      </c>
      <c r="U148" s="175" t="s">
        <v>97</v>
      </c>
      <c r="V148" s="166"/>
      <c r="W148" s="166"/>
      <c r="X148" s="166"/>
      <c r="Y148" s="166"/>
      <c r="Z148" s="166"/>
    </row>
    <row r="149">
      <c r="A149" s="176">
        <v>13</v>
      </c>
      <c r="B149" s="177" t="s">
        <v>593</v>
      </c>
      <c r="C149" s="176" t="s">
        <v>94</v>
      </c>
      <c r="D149" s="176" t="s">
        <v>95</v>
      </c>
      <c r="E149" s="176" t="s">
        <v>129</v>
      </c>
      <c r="F149" s="176" t="s">
        <v>115</v>
      </c>
      <c r="G149" s="176" t="s">
        <v>224</v>
      </c>
      <c r="H149" s="176" t="s">
        <v>115</v>
      </c>
      <c r="I149" s="176" t="s">
        <v>204</v>
      </c>
      <c r="J149" s="176" t="s">
        <v>144</v>
      </c>
      <c r="K149" s="176" t="s">
        <v>99</v>
      </c>
      <c r="L149" s="178" t="s">
        <v>594</v>
      </c>
      <c r="M149" s="178" t="s">
        <v>135</v>
      </c>
      <c r="N149" s="176" t="s">
        <v>97</v>
      </c>
      <c r="O149" s="176" t="s">
        <v>115</v>
      </c>
      <c r="P149" s="176" t="s">
        <v>160</v>
      </c>
      <c r="Q149" s="176" t="s">
        <v>114</v>
      </c>
      <c r="R149" s="176" t="s">
        <v>97</v>
      </c>
      <c r="S149" s="176" t="s">
        <v>111</v>
      </c>
      <c r="T149" s="176" t="s">
        <v>176</v>
      </c>
      <c r="U149" s="179" t="s">
        <v>97</v>
      </c>
      <c r="V149" s="166"/>
      <c r="W149" s="166"/>
      <c r="X149" s="166"/>
      <c r="Y149" s="166"/>
      <c r="Z149" s="166"/>
    </row>
    <row r="150">
      <c r="A150" s="172">
        <v>7</v>
      </c>
      <c r="B150" s="173" t="s">
        <v>595</v>
      </c>
      <c r="C150" s="172" t="s">
        <v>210</v>
      </c>
      <c r="D150" s="172" t="s">
        <v>290</v>
      </c>
      <c r="E150" s="172" t="s">
        <v>97</v>
      </c>
      <c r="F150" s="172" t="s">
        <v>97</v>
      </c>
      <c r="G150" s="172" t="s">
        <v>97</v>
      </c>
      <c r="H150" s="172" t="s">
        <v>97</v>
      </c>
      <c r="I150" s="172" t="s">
        <v>97</v>
      </c>
      <c r="J150" s="172" t="s">
        <v>466</v>
      </c>
      <c r="K150" s="172" t="s">
        <v>157</v>
      </c>
      <c r="L150" s="174"/>
      <c r="M150" s="174"/>
      <c r="N150" s="172" t="s">
        <v>97</v>
      </c>
      <c r="O150" s="172" t="s">
        <v>97</v>
      </c>
      <c r="P150" s="172" t="s">
        <v>189</v>
      </c>
      <c r="Q150" s="172" t="s">
        <v>96</v>
      </c>
      <c r="R150" s="172" t="s">
        <v>97</v>
      </c>
      <c r="S150" s="172" t="s">
        <v>183</v>
      </c>
      <c r="T150" s="172" t="s">
        <v>387</v>
      </c>
      <c r="U150" s="175" t="s">
        <v>115</v>
      </c>
      <c r="V150" s="166"/>
      <c r="W150" s="166"/>
      <c r="X150" s="166"/>
      <c r="Y150" s="166"/>
      <c r="Z150" s="166"/>
    </row>
    <row r="151">
      <c r="A151" s="176">
        <v>6</v>
      </c>
      <c r="B151" s="177" t="s">
        <v>596</v>
      </c>
      <c r="C151" s="176" t="s">
        <v>210</v>
      </c>
      <c r="D151" s="176" t="s">
        <v>290</v>
      </c>
      <c r="E151" s="176" t="s">
        <v>117</v>
      </c>
      <c r="F151" s="176" t="s">
        <v>97</v>
      </c>
      <c r="G151" s="176" t="s">
        <v>285</v>
      </c>
      <c r="H151" s="176" t="s">
        <v>97</v>
      </c>
      <c r="I151" s="176" t="s">
        <v>117</v>
      </c>
      <c r="J151" s="176" t="s">
        <v>215</v>
      </c>
      <c r="K151" s="176" t="s">
        <v>291</v>
      </c>
      <c r="L151" s="178" t="s">
        <v>292</v>
      </c>
      <c r="M151" s="178" t="s">
        <v>597</v>
      </c>
      <c r="N151" s="176" t="s">
        <v>97</v>
      </c>
      <c r="O151" s="176" t="s">
        <v>97</v>
      </c>
      <c r="P151" s="176" t="s">
        <v>160</v>
      </c>
      <c r="Q151" s="176" t="s">
        <v>118</v>
      </c>
      <c r="R151" s="176" t="s">
        <v>97</v>
      </c>
      <c r="S151" s="176" t="s">
        <v>294</v>
      </c>
      <c r="T151" s="176" t="s">
        <v>111</v>
      </c>
      <c r="U151" s="179" t="s">
        <v>140</v>
      </c>
      <c r="V151" s="166"/>
      <c r="W151" s="166"/>
      <c r="X151" s="166"/>
      <c r="Y151" s="166"/>
      <c r="Z151" s="166"/>
    </row>
    <row r="152">
      <c r="A152" s="172">
        <v>5</v>
      </c>
      <c r="B152" s="173" t="s">
        <v>598</v>
      </c>
      <c r="C152" s="172" t="s">
        <v>210</v>
      </c>
      <c r="D152" s="172" t="s">
        <v>290</v>
      </c>
      <c r="E152" s="172" t="s">
        <v>160</v>
      </c>
      <c r="F152" s="172" t="s">
        <v>97</v>
      </c>
      <c r="G152" s="172" t="s">
        <v>206</v>
      </c>
      <c r="H152" s="172" t="s">
        <v>97</v>
      </c>
      <c r="I152" s="172" t="s">
        <v>160</v>
      </c>
      <c r="J152" s="172" t="s">
        <v>354</v>
      </c>
      <c r="K152" s="172" t="s">
        <v>359</v>
      </c>
      <c r="L152" s="174" t="s">
        <v>292</v>
      </c>
      <c r="M152" s="174" t="s">
        <v>597</v>
      </c>
      <c r="N152" s="172" t="s">
        <v>97</v>
      </c>
      <c r="O152" s="172" t="s">
        <v>97</v>
      </c>
      <c r="P152" s="172" t="s">
        <v>114</v>
      </c>
      <c r="Q152" s="172" t="s">
        <v>118</v>
      </c>
      <c r="R152" s="172" t="s">
        <v>97</v>
      </c>
      <c r="S152" s="172" t="s">
        <v>354</v>
      </c>
      <c r="T152" s="172" t="s">
        <v>118</v>
      </c>
      <c r="U152" s="175" t="s">
        <v>140</v>
      </c>
      <c r="V152" s="166"/>
      <c r="W152" s="166"/>
      <c r="X152" s="166"/>
      <c r="Y152" s="166"/>
      <c r="Z152" s="166"/>
    </row>
    <row r="153">
      <c r="A153" s="176">
        <v>4</v>
      </c>
      <c r="B153" s="177" t="s">
        <v>599</v>
      </c>
      <c r="C153" s="176" t="s">
        <v>600</v>
      </c>
      <c r="D153" s="176" t="s">
        <v>601</v>
      </c>
      <c r="E153" s="176" t="s">
        <v>308</v>
      </c>
      <c r="F153" s="176" t="s">
        <v>164</v>
      </c>
      <c r="G153" s="176" t="s">
        <v>302</v>
      </c>
      <c r="H153" s="176" t="s">
        <v>164</v>
      </c>
      <c r="I153" s="176" t="s">
        <v>96</v>
      </c>
      <c r="J153" s="176" t="s">
        <v>302</v>
      </c>
      <c r="K153" s="176" t="s">
        <v>230</v>
      </c>
      <c r="L153" s="178" t="s">
        <v>582</v>
      </c>
      <c r="M153" s="178" t="s">
        <v>602</v>
      </c>
      <c r="N153" s="176" t="s">
        <v>284</v>
      </c>
      <c r="O153" s="176" t="s">
        <v>158</v>
      </c>
      <c r="P153" s="176" t="s">
        <v>96</v>
      </c>
      <c r="Q153" s="176" t="s">
        <v>97</v>
      </c>
      <c r="R153" s="176" t="s">
        <v>97</v>
      </c>
      <c r="S153" s="176" t="s">
        <v>302</v>
      </c>
      <c r="T153" s="176" t="s">
        <v>97</v>
      </c>
      <c r="U153" s="179" t="s">
        <v>97</v>
      </c>
      <c r="V153" s="166"/>
      <c r="W153" s="166"/>
      <c r="X153" s="166"/>
      <c r="Y153" s="166"/>
      <c r="Z153" s="166"/>
    </row>
    <row r="154">
      <c r="A154" s="172">
        <v>3</v>
      </c>
      <c r="B154" s="173" t="s">
        <v>603</v>
      </c>
      <c r="C154" s="172" t="s">
        <v>374</v>
      </c>
      <c r="D154" s="172" t="s">
        <v>375</v>
      </c>
      <c r="E154" s="172" t="s">
        <v>198</v>
      </c>
      <c r="F154" s="172" t="s">
        <v>97</v>
      </c>
      <c r="G154" s="172" t="s">
        <v>255</v>
      </c>
      <c r="H154" s="172" t="s">
        <v>97</v>
      </c>
      <c r="I154" s="172" t="s">
        <v>198</v>
      </c>
      <c r="J154" s="172" t="s">
        <v>199</v>
      </c>
      <c r="K154" s="172" t="s">
        <v>156</v>
      </c>
      <c r="L154" s="174" t="s">
        <v>171</v>
      </c>
      <c r="M154" s="174" t="s">
        <v>604</v>
      </c>
      <c r="N154" s="172" t="s">
        <v>97</v>
      </c>
      <c r="O154" s="172" t="s">
        <v>97</v>
      </c>
      <c r="P154" s="172" t="s">
        <v>97</v>
      </c>
      <c r="Q154" s="172" t="s">
        <v>198</v>
      </c>
      <c r="R154" s="172" t="s">
        <v>97</v>
      </c>
      <c r="S154" s="172" t="s">
        <v>310</v>
      </c>
      <c r="T154" s="172" t="s">
        <v>212</v>
      </c>
      <c r="U154" s="175" t="s">
        <v>97</v>
      </c>
      <c r="V154" s="166"/>
      <c r="W154" s="166"/>
      <c r="X154" s="166"/>
      <c r="Y154" s="166"/>
      <c r="Z154" s="166"/>
    </row>
    <row r="155">
      <c r="A155" s="180">
        <v>2</v>
      </c>
      <c r="B155" s="181" t="s">
        <v>605</v>
      </c>
      <c r="C155" s="180" t="s">
        <v>178</v>
      </c>
      <c r="D155" s="180" t="s">
        <v>179</v>
      </c>
      <c r="E155" s="180" t="s">
        <v>158</v>
      </c>
      <c r="F155" s="180" t="s">
        <v>97</v>
      </c>
      <c r="G155" s="180" t="s">
        <v>443</v>
      </c>
      <c r="H155" s="180" t="s">
        <v>97</v>
      </c>
      <c r="I155" s="180" t="s">
        <v>158</v>
      </c>
      <c r="J155" s="180" t="s">
        <v>190</v>
      </c>
      <c r="K155" s="180" t="s">
        <v>162</v>
      </c>
      <c r="L155" s="182" t="s">
        <v>606</v>
      </c>
      <c r="M155" s="182" t="s">
        <v>607</v>
      </c>
      <c r="N155" s="180" t="s">
        <v>97</v>
      </c>
      <c r="O155" s="180" t="s">
        <v>97</v>
      </c>
      <c r="P155" s="180" t="s">
        <v>116</v>
      </c>
      <c r="Q155" s="180" t="s">
        <v>212</v>
      </c>
      <c r="R155" s="180" t="s">
        <v>97</v>
      </c>
      <c r="S155" s="180" t="s">
        <v>313</v>
      </c>
      <c r="T155" s="180" t="s">
        <v>203</v>
      </c>
      <c r="U155" s="183" t="s">
        <v>140</v>
      </c>
      <c r="V155" s="166"/>
      <c r="W155" s="166"/>
      <c r="X155" s="166"/>
      <c r="Y155" s="166"/>
      <c r="Z155" s="166"/>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G18" activeCellId="0" sqref="G18"/>
    </sheetView>
  </sheetViews>
  <sheetFormatPr baseColWidth="10" defaultColWidth="11.42578125" defaultRowHeight="12"/>
  <cols>
    <col customWidth="1" min="1" max="1" style="184" width="8.7109375"/>
    <col customWidth="1" min="2" max="2" style="184" width="30.7109375"/>
    <col customWidth="1" min="3" max="3" style="184" width="15.7109375"/>
    <col min="4" max="16384" style="184" width="11.42578125"/>
  </cols>
  <sheetData>
    <row r="1">
      <c r="A1" s="165" t="s">
        <v>608</v>
      </c>
      <c r="B1" s="185" t="s">
        <v>68</v>
      </c>
      <c r="C1" s="186" t="s">
        <v>609</v>
      </c>
    </row>
    <row r="2">
      <c r="A2" s="166">
        <v>1</v>
      </c>
      <c r="B2" s="187" t="s">
        <v>610</v>
      </c>
      <c r="C2" s="188" t="s">
        <v>611</v>
      </c>
    </row>
    <row r="3">
      <c r="A3" s="166">
        <v>2</v>
      </c>
      <c r="B3" s="189" t="s">
        <v>612</v>
      </c>
      <c r="C3" s="190" t="s">
        <v>613</v>
      </c>
    </row>
    <row r="4">
      <c r="A4" s="166">
        <v>3</v>
      </c>
      <c r="B4" s="187" t="s">
        <v>614</v>
      </c>
      <c r="C4" s="188" t="s">
        <v>613</v>
      </c>
    </row>
    <row r="5">
      <c r="A5" s="166">
        <v>4</v>
      </c>
      <c r="B5" s="189" t="s">
        <v>615</v>
      </c>
      <c r="C5" s="190" t="s">
        <v>616</v>
      </c>
    </row>
    <row r="6">
      <c r="A6" s="166">
        <v>5</v>
      </c>
      <c r="B6" s="187" t="s">
        <v>617</v>
      </c>
      <c r="C6" s="188" t="s">
        <v>616</v>
      </c>
    </row>
    <row r="7">
      <c r="A7" s="166">
        <v>6</v>
      </c>
      <c r="B7" s="189" t="s">
        <v>618</v>
      </c>
      <c r="C7" s="190" t="s">
        <v>619</v>
      </c>
    </row>
    <row r="8">
      <c r="A8" s="166">
        <v>7</v>
      </c>
      <c r="B8" s="187" t="s">
        <v>620</v>
      </c>
      <c r="C8" s="188" t="s">
        <v>619</v>
      </c>
    </row>
    <row r="9">
      <c r="A9" s="166">
        <v>8</v>
      </c>
      <c r="B9" s="189" t="s">
        <v>621</v>
      </c>
      <c r="C9" s="190" t="s">
        <v>611</v>
      </c>
    </row>
    <row r="10">
      <c r="A10" s="166">
        <v>9</v>
      </c>
      <c r="B10" s="187" t="s">
        <v>622</v>
      </c>
      <c r="C10" s="188" t="s">
        <v>623</v>
      </c>
    </row>
    <row r="11">
      <c r="A11" s="166">
        <v>10</v>
      </c>
      <c r="B11" s="189" t="s">
        <v>624</v>
      </c>
      <c r="C11" s="190" t="s">
        <v>625</v>
      </c>
    </row>
    <row r="12">
      <c r="A12" s="166">
        <v>11</v>
      </c>
      <c r="B12" s="187" t="s">
        <v>626</v>
      </c>
      <c r="C12" s="188" t="s">
        <v>625</v>
      </c>
    </row>
    <row r="13">
      <c r="A13" s="166">
        <v>12</v>
      </c>
      <c r="B13" s="189" t="s">
        <v>627</v>
      </c>
      <c r="C13" s="190" t="s">
        <v>625</v>
      </c>
    </row>
    <row r="14">
      <c r="A14" s="166">
        <v>13</v>
      </c>
      <c r="B14" s="187" t="s">
        <v>628</v>
      </c>
      <c r="C14" s="188" t="s">
        <v>625</v>
      </c>
    </row>
    <row r="15">
      <c r="A15" s="166">
        <v>14</v>
      </c>
      <c r="B15" s="189" t="s">
        <v>629</v>
      </c>
      <c r="C15" s="190" t="s">
        <v>625</v>
      </c>
    </row>
    <row r="16">
      <c r="A16" s="166">
        <v>15</v>
      </c>
      <c r="B16" s="187" t="s">
        <v>630</v>
      </c>
      <c r="C16" s="188" t="s">
        <v>625</v>
      </c>
    </row>
    <row r="17">
      <c r="A17" s="166">
        <v>16</v>
      </c>
      <c r="B17" s="189" t="s">
        <v>631</v>
      </c>
      <c r="C17" s="190" t="s">
        <v>625</v>
      </c>
    </row>
    <row r="18">
      <c r="A18" s="166">
        <v>17</v>
      </c>
      <c r="B18" s="187" t="s">
        <v>632</v>
      </c>
      <c r="C18" s="188" t="s">
        <v>625</v>
      </c>
    </row>
    <row r="19">
      <c r="A19" s="166">
        <v>18</v>
      </c>
      <c r="B19" s="189" t="s">
        <v>633</v>
      </c>
      <c r="C19" s="190" t="s">
        <v>625</v>
      </c>
    </row>
    <row r="20">
      <c r="A20" s="166">
        <v>19</v>
      </c>
      <c r="B20" s="187" t="s">
        <v>634</v>
      </c>
      <c r="C20" s="188" t="s">
        <v>625</v>
      </c>
    </row>
    <row r="21">
      <c r="A21" s="166">
        <v>20</v>
      </c>
      <c r="B21" s="189" t="s">
        <v>635</v>
      </c>
      <c r="C21" s="190" t="s">
        <v>611</v>
      </c>
    </row>
    <row r="22">
      <c r="A22" s="166">
        <v>21</v>
      </c>
      <c r="B22" s="187" t="s">
        <v>636</v>
      </c>
      <c r="C22" s="188" t="s">
        <v>625</v>
      </c>
    </row>
    <row r="23">
      <c r="A23" s="166">
        <v>22</v>
      </c>
      <c r="B23" s="189" t="s">
        <v>637</v>
      </c>
      <c r="C23" s="190" t="s">
        <v>623</v>
      </c>
    </row>
    <row r="24">
      <c r="A24" s="166">
        <v>23</v>
      </c>
      <c r="B24" s="187" t="s">
        <v>638</v>
      </c>
      <c r="C24" s="188" t="s">
        <v>639</v>
      </c>
    </row>
    <row r="25">
      <c r="A25" s="166">
        <v>24</v>
      </c>
      <c r="B25" s="189" t="s">
        <v>640</v>
      </c>
      <c r="C25" s="190" t="s">
        <v>639</v>
      </c>
    </row>
    <row r="26">
      <c r="A26" s="166">
        <v>25</v>
      </c>
      <c r="B26" s="187" t="s">
        <v>641</v>
      </c>
      <c r="C26" s="188" t="s">
        <v>639</v>
      </c>
    </row>
    <row r="27">
      <c r="A27" s="166">
        <v>26</v>
      </c>
      <c r="B27" s="189" t="s">
        <v>642</v>
      </c>
      <c r="C27" s="190" t="s">
        <v>639</v>
      </c>
    </row>
    <row r="28">
      <c r="A28" s="166">
        <v>27</v>
      </c>
      <c r="B28" s="187" t="s">
        <v>643</v>
      </c>
      <c r="C28" s="188" t="s">
        <v>613</v>
      </c>
    </row>
    <row r="29">
      <c r="A29" s="166">
        <v>28</v>
      </c>
      <c r="B29" s="189" t="s">
        <v>644</v>
      </c>
      <c r="C29" s="190" t="s">
        <v>623</v>
      </c>
    </row>
    <row r="30">
      <c r="A30" s="166">
        <v>29</v>
      </c>
      <c r="B30" s="187" t="s">
        <v>645</v>
      </c>
      <c r="C30" s="188" t="s">
        <v>623</v>
      </c>
    </row>
    <row r="31">
      <c r="A31" s="166">
        <v>30</v>
      </c>
      <c r="B31" s="189" t="s">
        <v>646</v>
      </c>
      <c r="C31" s="190" t="s">
        <v>623</v>
      </c>
    </row>
    <row r="32">
      <c r="A32" s="166">
        <v>31</v>
      </c>
      <c r="B32" s="187" t="s">
        <v>647</v>
      </c>
      <c r="C32" s="188" t="s">
        <v>623</v>
      </c>
    </row>
    <row r="33">
      <c r="A33" s="166">
        <v>32</v>
      </c>
      <c r="B33" s="189" t="s">
        <v>648</v>
      </c>
      <c r="C33" s="190" t="s">
        <v>611</v>
      </c>
    </row>
    <row r="34">
      <c r="A34" s="166">
        <v>33</v>
      </c>
      <c r="B34" s="187" t="s">
        <v>649</v>
      </c>
      <c r="C34" s="188" t="s">
        <v>623</v>
      </c>
    </row>
    <row r="35">
      <c r="A35" s="166">
        <v>34</v>
      </c>
      <c r="B35" s="189" t="s">
        <v>650</v>
      </c>
      <c r="C35" s="190" t="s">
        <v>651</v>
      </c>
    </row>
    <row r="36">
      <c r="A36" s="166">
        <v>35</v>
      </c>
      <c r="B36" s="187" t="s">
        <v>652</v>
      </c>
      <c r="C36" s="188" t="s">
        <v>651</v>
      </c>
    </row>
    <row r="37">
      <c r="A37" s="166">
        <v>36</v>
      </c>
      <c r="B37" s="189" t="s">
        <v>653</v>
      </c>
      <c r="C37" s="190" t="s">
        <v>613</v>
      </c>
    </row>
    <row r="38">
      <c r="A38" s="166">
        <v>37</v>
      </c>
      <c r="B38" s="187" t="s">
        <v>654</v>
      </c>
      <c r="C38" s="188" t="s">
        <v>623</v>
      </c>
    </row>
    <row r="39">
      <c r="A39" s="166">
        <v>38</v>
      </c>
      <c r="B39" s="189" t="s">
        <v>655</v>
      </c>
      <c r="C39" s="190" t="s">
        <v>656</v>
      </c>
    </row>
    <row r="40">
      <c r="A40" s="166">
        <v>39</v>
      </c>
      <c r="B40" s="187" t="s">
        <v>657</v>
      </c>
      <c r="C40" s="188" t="s">
        <v>611</v>
      </c>
    </row>
    <row r="41">
      <c r="A41" s="166">
        <v>40</v>
      </c>
      <c r="B41" s="189" t="s">
        <v>658</v>
      </c>
      <c r="C41" s="190" t="s">
        <v>619</v>
      </c>
    </row>
    <row r="42">
      <c r="A42" s="166">
        <v>41</v>
      </c>
      <c r="B42" s="187" t="s">
        <v>355</v>
      </c>
      <c r="C42" s="188" t="s">
        <v>659</v>
      </c>
    </row>
    <row r="43">
      <c r="A43" s="166">
        <v>42</v>
      </c>
      <c r="B43" s="189" t="s">
        <v>660</v>
      </c>
      <c r="C43" s="190" t="s">
        <v>659</v>
      </c>
    </row>
    <row r="44">
      <c r="A44" s="166">
        <v>43</v>
      </c>
      <c r="B44" s="187" t="s">
        <v>661</v>
      </c>
      <c r="C44" s="188" t="s">
        <v>613</v>
      </c>
    </row>
    <row r="45">
      <c r="A45" s="166">
        <v>44</v>
      </c>
      <c r="B45" s="189" t="s">
        <v>662</v>
      </c>
      <c r="C45" s="190" t="s">
        <v>611</v>
      </c>
    </row>
    <row r="46">
      <c r="A46" s="166">
        <v>45</v>
      </c>
      <c r="B46" s="187" t="s">
        <v>663</v>
      </c>
      <c r="C46" s="188" t="s">
        <v>664</v>
      </c>
    </row>
    <row r="47">
      <c r="A47" s="166">
        <v>46</v>
      </c>
      <c r="B47" s="189" t="s">
        <v>665</v>
      </c>
      <c r="C47" s="190" t="s">
        <v>666</v>
      </c>
    </row>
    <row r="48">
      <c r="A48" s="166">
        <v>47</v>
      </c>
      <c r="B48" s="187" t="s">
        <v>667</v>
      </c>
      <c r="C48" s="188" t="s">
        <v>664</v>
      </c>
    </row>
    <row r="49">
      <c r="A49" s="166">
        <v>48</v>
      </c>
      <c r="B49" s="189" t="s">
        <v>668</v>
      </c>
      <c r="C49" s="190" t="s">
        <v>616</v>
      </c>
    </row>
    <row r="50">
      <c r="A50" s="166">
        <v>49</v>
      </c>
      <c r="B50" s="187" t="s">
        <v>669</v>
      </c>
      <c r="C50" s="188" t="s">
        <v>670</v>
      </c>
    </row>
    <row r="51">
      <c r="A51" s="166">
        <v>50</v>
      </c>
      <c r="B51" s="189" t="s">
        <v>671</v>
      </c>
      <c r="C51" s="190" t="s">
        <v>619</v>
      </c>
    </row>
    <row r="52">
      <c r="A52" s="166">
        <v>51</v>
      </c>
      <c r="B52" s="187" t="s">
        <v>672</v>
      </c>
      <c r="C52" s="188" t="s">
        <v>656</v>
      </c>
    </row>
    <row r="53">
      <c r="A53" s="166">
        <v>52</v>
      </c>
      <c r="B53" s="189" t="s">
        <v>673</v>
      </c>
      <c r="C53" s="190" t="s">
        <v>613</v>
      </c>
    </row>
    <row r="54">
      <c r="A54" s="166">
        <v>53</v>
      </c>
      <c r="B54" s="187" t="s">
        <v>674</v>
      </c>
      <c r="C54" s="188" t="s">
        <v>619</v>
      </c>
    </row>
    <row r="55">
      <c r="A55" s="166">
        <v>54</v>
      </c>
      <c r="B55" s="189" t="s">
        <v>675</v>
      </c>
      <c r="C55" s="190" t="s">
        <v>613</v>
      </c>
    </row>
    <row r="56">
      <c r="A56" s="166">
        <v>55</v>
      </c>
      <c r="B56" s="187" t="s">
        <v>676</v>
      </c>
      <c r="C56" s="188" t="s">
        <v>613</v>
      </c>
    </row>
    <row r="57">
      <c r="A57" s="166">
        <v>56</v>
      </c>
      <c r="B57" s="189" t="s">
        <v>677</v>
      </c>
      <c r="C57" s="190" t="s">
        <v>611</v>
      </c>
    </row>
    <row r="58">
      <c r="A58" s="166">
        <v>57</v>
      </c>
      <c r="B58" s="187" t="s">
        <v>678</v>
      </c>
      <c r="C58" s="188" t="s">
        <v>679</v>
      </c>
    </row>
    <row r="59">
      <c r="A59" s="166">
        <v>58</v>
      </c>
      <c r="B59" s="189" t="s">
        <v>680</v>
      </c>
      <c r="C59" s="190" t="s">
        <v>681</v>
      </c>
    </row>
    <row r="60">
      <c r="A60" s="166">
        <v>59</v>
      </c>
      <c r="B60" s="187" t="s">
        <v>682</v>
      </c>
      <c r="C60" s="188" t="s">
        <v>664</v>
      </c>
    </row>
    <row r="61">
      <c r="A61" s="166">
        <v>60</v>
      </c>
      <c r="B61" s="189" t="s">
        <v>683</v>
      </c>
      <c r="C61" s="190" t="s">
        <v>684</v>
      </c>
    </row>
    <row r="62">
      <c r="A62" s="166">
        <v>61</v>
      </c>
      <c r="B62" s="187" t="s">
        <v>685</v>
      </c>
      <c r="C62" s="188" t="s">
        <v>684</v>
      </c>
    </row>
    <row r="63">
      <c r="A63" s="166">
        <v>62</v>
      </c>
      <c r="B63" s="189" t="s">
        <v>686</v>
      </c>
      <c r="C63" s="190" t="s">
        <v>684</v>
      </c>
    </row>
    <row r="64">
      <c r="A64" s="166">
        <v>63</v>
      </c>
      <c r="B64" s="187" t="s">
        <v>687</v>
      </c>
      <c r="C64" s="188" t="s">
        <v>684</v>
      </c>
    </row>
    <row r="65">
      <c r="A65" s="166">
        <v>64</v>
      </c>
      <c r="B65" s="189" t="s">
        <v>688</v>
      </c>
      <c r="C65" s="190" t="s">
        <v>684</v>
      </c>
    </row>
    <row r="66">
      <c r="A66" s="166">
        <v>65</v>
      </c>
      <c r="B66" s="187" t="s">
        <v>689</v>
      </c>
      <c r="C66" s="188" t="s">
        <v>684</v>
      </c>
    </row>
    <row r="67">
      <c r="A67" s="166">
        <v>66</v>
      </c>
      <c r="B67" s="189" t="s">
        <v>690</v>
      </c>
      <c r="C67" s="190" t="s">
        <v>684</v>
      </c>
    </row>
    <row r="68">
      <c r="A68" s="166">
        <v>67</v>
      </c>
      <c r="B68" s="187" t="s">
        <v>691</v>
      </c>
      <c r="C68" s="188" t="s">
        <v>684</v>
      </c>
    </row>
    <row r="69">
      <c r="A69" s="166">
        <v>68</v>
      </c>
      <c r="B69" s="189" t="s">
        <v>692</v>
      </c>
      <c r="C69" s="190" t="s">
        <v>684</v>
      </c>
    </row>
    <row r="70">
      <c r="A70" s="166">
        <v>69</v>
      </c>
      <c r="B70" s="187" t="s">
        <v>693</v>
      </c>
      <c r="C70" s="188" t="s">
        <v>684</v>
      </c>
    </row>
    <row r="71">
      <c r="A71" s="166">
        <v>70</v>
      </c>
      <c r="B71" s="189" t="s">
        <v>694</v>
      </c>
      <c r="C71" s="190" t="s">
        <v>684</v>
      </c>
    </row>
    <row r="72">
      <c r="A72" s="166">
        <v>71</v>
      </c>
      <c r="B72" s="187" t="s">
        <v>695</v>
      </c>
      <c r="C72" s="188" t="s">
        <v>684</v>
      </c>
    </row>
    <row r="73">
      <c r="A73" s="166">
        <v>72</v>
      </c>
      <c r="B73" s="189" t="s">
        <v>696</v>
      </c>
      <c r="C73" s="190" t="s">
        <v>684</v>
      </c>
    </row>
    <row r="74">
      <c r="A74" s="166">
        <v>73</v>
      </c>
      <c r="B74" s="187" t="s">
        <v>697</v>
      </c>
      <c r="C74" s="188" t="s">
        <v>684</v>
      </c>
    </row>
    <row r="75">
      <c r="A75" s="166">
        <v>74</v>
      </c>
      <c r="B75" s="189" t="s">
        <v>698</v>
      </c>
      <c r="C75" s="190" t="s">
        <v>684</v>
      </c>
    </row>
    <row r="76">
      <c r="A76" s="166">
        <v>75</v>
      </c>
      <c r="B76" s="187" t="s">
        <v>699</v>
      </c>
      <c r="C76" s="188" t="s">
        <v>684</v>
      </c>
    </row>
    <row r="77">
      <c r="A77" s="166">
        <v>76</v>
      </c>
      <c r="B77" s="189" t="s">
        <v>700</v>
      </c>
      <c r="C77" s="190" t="s">
        <v>684</v>
      </c>
    </row>
    <row r="78">
      <c r="A78" s="166">
        <v>77</v>
      </c>
      <c r="B78" s="187" t="s">
        <v>701</v>
      </c>
      <c r="C78" s="188" t="s">
        <v>684</v>
      </c>
    </row>
    <row r="79">
      <c r="A79" s="166">
        <v>78</v>
      </c>
      <c r="B79" s="189" t="s">
        <v>702</v>
      </c>
      <c r="C79" s="190" t="s">
        <v>684</v>
      </c>
    </row>
    <row r="80">
      <c r="A80" s="166">
        <v>79</v>
      </c>
      <c r="B80" s="187" t="s">
        <v>703</v>
      </c>
      <c r="C80" s="188" t="s">
        <v>684</v>
      </c>
    </row>
    <row r="81">
      <c r="A81" s="166">
        <v>80</v>
      </c>
      <c r="B81" s="189" t="s">
        <v>704</v>
      </c>
      <c r="C81" s="190" t="s">
        <v>684</v>
      </c>
    </row>
    <row r="82">
      <c r="A82" s="166">
        <v>81</v>
      </c>
      <c r="B82" s="187" t="s">
        <v>705</v>
      </c>
      <c r="C82" s="188" t="s">
        <v>684</v>
      </c>
    </row>
    <row r="83">
      <c r="A83" s="166">
        <v>82</v>
      </c>
      <c r="B83" s="189" t="s">
        <v>706</v>
      </c>
      <c r="C83" s="190" t="s">
        <v>684</v>
      </c>
    </row>
    <row r="84">
      <c r="A84" s="166">
        <v>83</v>
      </c>
      <c r="B84" s="187" t="s">
        <v>707</v>
      </c>
      <c r="C84" s="188" t="s">
        <v>684</v>
      </c>
    </row>
    <row r="85">
      <c r="A85" s="166">
        <v>84</v>
      </c>
      <c r="B85" s="189" t="s">
        <v>708</v>
      </c>
      <c r="C85" s="190" t="s">
        <v>684</v>
      </c>
    </row>
    <row r="86">
      <c r="A86" s="166">
        <v>85</v>
      </c>
      <c r="B86" s="187" t="s">
        <v>709</v>
      </c>
      <c r="C86" s="188" t="s">
        <v>684</v>
      </c>
    </row>
    <row r="87">
      <c r="A87" s="166">
        <v>86</v>
      </c>
      <c r="B87" s="189" t="s">
        <v>710</v>
      </c>
      <c r="C87" s="190" t="s">
        <v>684</v>
      </c>
    </row>
    <row r="88">
      <c r="A88" s="166">
        <v>87</v>
      </c>
      <c r="B88" s="187" t="s">
        <v>711</v>
      </c>
      <c r="C88" s="188" t="s">
        <v>684</v>
      </c>
    </row>
    <row r="89">
      <c r="A89" s="166">
        <v>88</v>
      </c>
      <c r="B89" s="189" t="s">
        <v>712</v>
      </c>
      <c r="C89" s="190" t="s">
        <v>684</v>
      </c>
    </row>
    <row r="90">
      <c r="A90" s="166">
        <v>89</v>
      </c>
      <c r="B90" s="187" t="s">
        <v>713</v>
      </c>
      <c r="C90" s="188" t="s">
        <v>684</v>
      </c>
    </row>
    <row r="91">
      <c r="A91" s="166">
        <v>90</v>
      </c>
      <c r="B91" s="189" t="s">
        <v>714</v>
      </c>
      <c r="C91" s="190" t="s">
        <v>684</v>
      </c>
    </row>
    <row r="92">
      <c r="A92" s="166">
        <v>91</v>
      </c>
      <c r="B92" s="187" t="s">
        <v>715</v>
      </c>
      <c r="C92" s="188" t="s">
        <v>684</v>
      </c>
    </row>
    <row r="93">
      <c r="A93" s="166">
        <v>92</v>
      </c>
      <c r="B93" s="189" t="s">
        <v>716</v>
      </c>
      <c r="C93" s="190" t="s">
        <v>684</v>
      </c>
    </row>
    <row r="94">
      <c r="A94" s="166">
        <v>93</v>
      </c>
      <c r="B94" s="187" t="s">
        <v>717</v>
      </c>
      <c r="C94" s="188" t="s">
        <v>684</v>
      </c>
    </row>
    <row r="95">
      <c r="A95" s="166">
        <v>94</v>
      </c>
      <c r="B95" s="189" t="s">
        <v>718</v>
      </c>
      <c r="C95" s="190" t="s">
        <v>623</v>
      </c>
    </row>
    <row r="96">
      <c r="A96" s="166">
        <v>95</v>
      </c>
      <c r="B96" s="187" t="s">
        <v>719</v>
      </c>
      <c r="C96" s="188" t="s">
        <v>623</v>
      </c>
    </row>
    <row r="97">
      <c r="A97" s="166">
        <v>96</v>
      </c>
      <c r="B97" s="189" t="s">
        <v>720</v>
      </c>
      <c r="C97" s="190" t="s">
        <v>670</v>
      </c>
    </row>
    <row r="98">
      <c r="A98" s="166">
        <v>97</v>
      </c>
      <c r="B98" s="187" t="s">
        <v>721</v>
      </c>
      <c r="C98" s="188" t="s">
        <v>670</v>
      </c>
    </row>
    <row r="99">
      <c r="A99" s="166">
        <v>98</v>
      </c>
      <c r="B99" s="189" t="s">
        <v>722</v>
      </c>
      <c r="C99" s="190" t="s">
        <v>619</v>
      </c>
    </row>
    <row r="100">
      <c r="A100" s="166">
        <v>99</v>
      </c>
      <c r="B100" s="187" t="s">
        <v>723</v>
      </c>
      <c r="C100" s="188" t="s">
        <v>724</v>
      </c>
    </row>
    <row r="101">
      <c r="A101" s="166">
        <v>100</v>
      </c>
      <c r="B101" s="189" t="s">
        <v>725</v>
      </c>
      <c r="C101" s="190" t="s">
        <v>724</v>
      </c>
    </row>
    <row r="102">
      <c r="A102" s="166">
        <v>101</v>
      </c>
      <c r="B102" s="187" t="s">
        <v>726</v>
      </c>
      <c r="C102" s="188" t="s">
        <v>613</v>
      </c>
    </row>
    <row r="103">
      <c r="A103" s="166">
        <v>102</v>
      </c>
      <c r="B103" s="189" t="s">
        <v>727</v>
      </c>
      <c r="C103" s="190" t="s">
        <v>611</v>
      </c>
    </row>
    <row r="104">
      <c r="A104" s="166">
        <v>103</v>
      </c>
      <c r="B104" s="187" t="s">
        <v>728</v>
      </c>
      <c r="C104" s="188" t="s">
        <v>623</v>
      </c>
    </row>
    <row r="105">
      <c r="A105" s="166">
        <v>104</v>
      </c>
      <c r="B105" s="189" t="s">
        <v>729</v>
      </c>
      <c r="C105" s="190" t="s">
        <v>623</v>
      </c>
    </row>
    <row r="106">
      <c r="A106" s="166">
        <v>105</v>
      </c>
      <c r="B106" s="187" t="s">
        <v>730</v>
      </c>
      <c r="C106" s="188" t="s">
        <v>656</v>
      </c>
    </row>
    <row r="107">
      <c r="A107" s="166">
        <v>106</v>
      </c>
      <c r="B107" s="189" t="s">
        <v>731</v>
      </c>
      <c r="C107" s="190" t="s">
        <v>616</v>
      </c>
    </row>
    <row r="108">
      <c r="A108" s="166">
        <v>107</v>
      </c>
      <c r="B108" s="187" t="s">
        <v>732</v>
      </c>
      <c r="C108" s="188" t="s">
        <v>619</v>
      </c>
    </row>
    <row r="109">
      <c r="A109" s="166">
        <v>108</v>
      </c>
      <c r="B109" s="189" t="s">
        <v>733</v>
      </c>
      <c r="C109" s="190" t="s">
        <v>666</v>
      </c>
    </row>
    <row r="110">
      <c r="A110" s="166">
        <v>109</v>
      </c>
      <c r="B110" s="187" t="s">
        <v>734</v>
      </c>
      <c r="C110" s="188" t="s">
        <v>666</v>
      </c>
    </row>
    <row r="111">
      <c r="A111" s="166">
        <v>110</v>
      </c>
      <c r="B111" s="189" t="s">
        <v>735</v>
      </c>
      <c r="C111" s="190" t="s">
        <v>611</v>
      </c>
    </row>
    <row r="112">
      <c r="A112" s="166">
        <v>111</v>
      </c>
      <c r="B112" s="187" t="s">
        <v>736</v>
      </c>
      <c r="C112" s="188" t="s">
        <v>623</v>
      </c>
    </row>
    <row r="113">
      <c r="A113" s="166">
        <v>112</v>
      </c>
      <c r="B113" s="189" t="s">
        <v>737</v>
      </c>
      <c r="C113" s="190" t="s">
        <v>623</v>
      </c>
    </row>
    <row r="114">
      <c r="A114" s="166">
        <v>113</v>
      </c>
      <c r="B114" s="187" t="s">
        <v>738</v>
      </c>
      <c r="C114" s="188" t="s">
        <v>611</v>
      </c>
    </row>
    <row r="115">
      <c r="A115" s="166">
        <v>114</v>
      </c>
      <c r="B115" s="189" t="s">
        <v>739</v>
      </c>
      <c r="C115" s="190" t="s">
        <v>623</v>
      </c>
    </row>
    <row r="116">
      <c r="A116" s="166">
        <v>115</v>
      </c>
      <c r="B116" s="187" t="s">
        <v>740</v>
      </c>
      <c r="C116" s="188" t="s">
        <v>613</v>
      </c>
    </row>
    <row r="117">
      <c r="A117" s="166">
        <v>116</v>
      </c>
      <c r="B117" s="189" t="s">
        <v>741</v>
      </c>
      <c r="C117" s="190" t="s">
        <v>656</v>
      </c>
    </row>
    <row r="118">
      <c r="A118" s="166">
        <v>117</v>
      </c>
      <c r="B118" s="187" t="s">
        <v>742</v>
      </c>
      <c r="C118" s="188" t="s">
        <v>679</v>
      </c>
    </row>
    <row r="119">
      <c r="A119" s="166">
        <v>118</v>
      </c>
      <c r="B119" s="189" t="s">
        <v>743</v>
      </c>
      <c r="C119" s="190" t="s">
        <v>744</v>
      </c>
    </row>
    <row r="120">
      <c r="A120" s="166">
        <v>119</v>
      </c>
      <c r="B120" s="187" t="s">
        <v>745</v>
      </c>
      <c r="C120" s="188" t="s">
        <v>623</v>
      </c>
    </row>
    <row r="121">
      <c r="A121" s="166">
        <v>120</v>
      </c>
      <c r="B121" s="189" t="s">
        <v>746</v>
      </c>
      <c r="C121" s="190" t="s">
        <v>623</v>
      </c>
    </row>
    <row r="122">
      <c r="A122" s="166">
        <v>121</v>
      </c>
      <c r="B122" s="187" t="s">
        <v>747</v>
      </c>
      <c r="C122" s="188" t="s">
        <v>611</v>
      </c>
    </row>
    <row r="123">
      <c r="A123" s="166">
        <v>122</v>
      </c>
      <c r="B123" s="189" t="s">
        <v>748</v>
      </c>
      <c r="C123" s="190" t="s">
        <v>651</v>
      </c>
    </row>
    <row r="124">
      <c r="A124" s="166">
        <v>123</v>
      </c>
      <c r="B124" s="187" t="s">
        <v>749</v>
      </c>
      <c r="C124" s="188" t="s">
        <v>651</v>
      </c>
    </row>
    <row r="125">
      <c r="A125" s="166">
        <v>124</v>
      </c>
      <c r="B125" s="189" t="s">
        <v>750</v>
      </c>
      <c r="C125" s="190" t="s">
        <v>651</v>
      </c>
    </row>
    <row r="126">
      <c r="A126" s="166">
        <v>125</v>
      </c>
      <c r="B126" s="187" t="s">
        <v>751</v>
      </c>
      <c r="C126" s="188" t="s">
        <v>651</v>
      </c>
    </row>
    <row r="127">
      <c r="A127" s="166">
        <v>126</v>
      </c>
      <c r="B127" s="189" t="s">
        <v>752</v>
      </c>
      <c r="C127" s="190" t="s">
        <v>753</v>
      </c>
    </row>
    <row r="128">
      <c r="A128" s="166">
        <v>127</v>
      </c>
      <c r="B128" s="187" t="s">
        <v>754</v>
      </c>
      <c r="C128" s="188" t="s">
        <v>755</v>
      </c>
    </row>
    <row r="129">
      <c r="A129" s="166">
        <v>128</v>
      </c>
      <c r="B129" s="189" t="s">
        <v>756</v>
      </c>
      <c r="C129" s="190" t="s">
        <v>755</v>
      </c>
    </row>
    <row r="130">
      <c r="A130" s="166">
        <v>129</v>
      </c>
      <c r="B130" s="187" t="s">
        <v>757</v>
      </c>
      <c r="C130" s="188" t="s">
        <v>755</v>
      </c>
    </row>
    <row r="131">
      <c r="A131" s="166">
        <v>130</v>
      </c>
      <c r="B131" s="189" t="s">
        <v>758</v>
      </c>
      <c r="C131" s="190" t="s">
        <v>755</v>
      </c>
    </row>
    <row r="132">
      <c r="A132" s="166">
        <v>131</v>
      </c>
      <c r="B132" s="187" t="s">
        <v>759</v>
      </c>
      <c r="C132" s="188" t="s">
        <v>760</v>
      </c>
    </row>
    <row r="133">
      <c r="A133" s="166">
        <v>132</v>
      </c>
      <c r="B133" s="189" t="s">
        <v>761</v>
      </c>
      <c r="C133" s="190" t="s">
        <v>755</v>
      </c>
    </row>
    <row r="134">
      <c r="A134" s="166">
        <v>133</v>
      </c>
      <c r="B134" s="187" t="s">
        <v>762</v>
      </c>
      <c r="C134" s="188" t="s">
        <v>755</v>
      </c>
    </row>
    <row r="135">
      <c r="A135" s="166">
        <v>134</v>
      </c>
      <c r="B135" s="189" t="s">
        <v>763</v>
      </c>
      <c r="C135" s="190" t="s">
        <v>760</v>
      </c>
    </row>
    <row r="136">
      <c r="A136" s="166">
        <v>135</v>
      </c>
      <c r="B136" s="187" t="s">
        <v>764</v>
      </c>
      <c r="C136" s="188" t="s">
        <v>760</v>
      </c>
    </row>
    <row r="137">
      <c r="A137" s="166">
        <v>136</v>
      </c>
      <c r="B137" s="189" t="s">
        <v>765</v>
      </c>
      <c r="C137" s="190" t="s">
        <v>760</v>
      </c>
    </row>
    <row r="138">
      <c r="A138" s="166">
        <v>137</v>
      </c>
      <c r="B138" s="187" t="s">
        <v>766</v>
      </c>
      <c r="C138" s="188" t="s">
        <v>755</v>
      </c>
    </row>
    <row r="139">
      <c r="A139" s="166">
        <v>138</v>
      </c>
      <c r="B139" s="189" t="s">
        <v>767</v>
      </c>
      <c r="C139" s="190" t="s">
        <v>755</v>
      </c>
    </row>
    <row r="140">
      <c r="A140" s="166">
        <v>139</v>
      </c>
      <c r="B140" s="187" t="s">
        <v>768</v>
      </c>
      <c r="C140" s="188" t="s">
        <v>760</v>
      </c>
    </row>
    <row r="141">
      <c r="A141" s="166">
        <v>140</v>
      </c>
      <c r="B141" s="189" t="s">
        <v>769</v>
      </c>
      <c r="C141" s="190" t="s">
        <v>755</v>
      </c>
    </row>
    <row r="142">
      <c r="A142" s="166">
        <v>141</v>
      </c>
      <c r="B142" s="187" t="s">
        <v>770</v>
      </c>
      <c r="C142" s="188" t="s">
        <v>760</v>
      </c>
    </row>
    <row r="143">
      <c r="A143" s="166">
        <v>142</v>
      </c>
      <c r="B143" s="189" t="s">
        <v>771</v>
      </c>
      <c r="C143" s="190" t="s">
        <v>755</v>
      </c>
    </row>
    <row r="144">
      <c r="A144" s="166">
        <v>143</v>
      </c>
      <c r="B144" s="187" t="s">
        <v>772</v>
      </c>
      <c r="C144" s="188" t="s">
        <v>755</v>
      </c>
    </row>
    <row r="145">
      <c r="A145" s="166">
        <v>144</v>
      </c>
      <c r="B145" s="189" t="s">
        <v>773</v>
      </c>
      <c r="C145" s="190" t="s">
        <v>755</v>
      </c>
    </row>
    <row r="146">
      <c r="A146" s="166">
        <v>145</v>
      </c>
      <c r="B146" s="187" t="s">
        <v>774</v>
      </c>
      <c r="C146" s="188" t="s">
        <v>755</v>
      </c>
    </row>
    <row r="147">
      <c r="A147" s="166">
        <v>146</v>
      </c>
      <c r="B147" s="189" t="s">
        <v>775</v>
      </c>
      <c r="C147" s="190" t="s">
        <v>755</v>
      </c>
    </row>
    <row r="148">
      <c r="A148" s="166">
        <v>147</v>
      </c>
      <c r="B148" s="187" t="s">
        <v>776</v>
      </c>
      <c r="C148" s="188" t="s">
        <v>755</v>
      </c>
    </row>
    <row r="149">
      <c r="A149" s="166">
        <v>148</v>
      </c>
      <c r="B149" s="189" t="s">
        <v>777</v>
      </c>
      <c r="C149" s="190" t="s">
        <v>760</v>
      </c>
    </row>
    <row r="150">
      <c r="A150" s="166">
        <v>149</v>
      </c>
      <c r="B150" s="187" t="s">
        <v>778</v>
      </c>
      <c r="C150" s="188" t="s">
        <v>755</v>
      </c>
    </row>
    <row r="151">
      <c r="A151" s="166">
        <v>150</v>
      </c>
      <c r="B151" s="189" t="s">
        <v>779</v>
      </c>
      <c r="C151" s="190" t="s">
        <v>755</v>
      </c>
    </row>
    <row r="152">
      <c r="A152" s="166">
        <v>151</v>
      </c>
      <c r="B152" s="187" t="s">
        <v>780</v>
      </c>
      <c r="C152" s="188" t="s">
        <v>755</v>
      </c>
    </row>
    <row r="153">
      <c r="A153" s="166">
        <v>152</v>
      </c>
      <c r="B153" s="189" t="s">
        <v>781</v>
      </c>
      <c r="C153" s="190" t="s">
        <v>755</v>
      </c>
    </row>
    <row r="154">
      <c r="A154" s="166">
        <v>153</v>
      </c>
      <c r="B154" s="187" t="s">
        <v>782</v>
      </c>
      <c r="C154" s="188" t="s">
        <v>755</v>
      </c>
    </row>
    <row r="155">
      <c r="A155" s="166">
        <v>154</v>
      </c>
      <c r="B155" s="189" t="s">
        <v>783</v>
      </c>
      <c r="C155" s="190" t="s">
        <v>755</v>
      </c>
    </row>
    <row r="156">
      <c r="A156" s="166">
        <v>155</v>
      </c>
      <c r="B156" s="187" t="s">
        <v>784</v>
      </c>
      <c r="C156" s="188" t="s">
        <v>760</v>
      </c>
    </row>
    <row r="157">
      <c r="A157" s="166">
        <v>156</v>
      </c>
      <c r="B157" s="189" t="s">
        <v>785</v>
      </c>
      <c r="C157" s="190" t="s">
        <v>760</v>
      </c>
    </row>
    <row r="158">
      <c r="A158" s="166">
        <v>157</v>
      </c>
      <c r="B158" s="187" t="s">
        <v>786</v>
      </c>
      <c r="C158" s="188" t="s">
        <v>760</v>
      </c>
    </row>
    <row r="159">
      <c r="A159" s="166">
        <v>158</v>
      </c>
      <c r="B159" s="189" t="s">
        <v>787</v>
      </c>
      <c r="C159" s="190" t="s">
        <v>760</v>
      </c>
    </row>
    <row r="160">
      <c r="A160" s="166">
        <v>159</v>
      </c>
      <c r="B160" s="187" t="s">
        <v>788</v>
      </c>
      <c r="C160" s="188" t="s">
        <v>619</v>
      </c>
    </row>
    <row r="161">
      <c r="A161" s="166">
        <v>160</v>
      </c>
      <c r="B161" s="189" t="s">
        <v>789</v>
      </c>
      <c r="C161" s="190" t="s">
        <v>619</v>
      </c>
    </row>
    <row r="162">
      <c r="A162" s="166">
        <v>161</v>
      </c>
      <c r="B162" s="187" t="s">
        <v>790</v>
      </c>
      <c r="C162" s="188" t="s">
        <v>724</v>
      </c>
    </row>
    <row r="163">
      <c r="A163" s="166">
        <v>162</v>
      </c>
      <c r="B163" s="189" t="s">
        <v>791</v>
      </c>
      <c r="C163" s="190" t="s">
        <v>623</v>
      </c>
    </row>
    <row r="164">
      <c r="A164" s="166">
        <v>163</v>
      </c>
      <c r="B164" s="187" t="s">
        <v>792</v>
      </c>
      <c r="C164" s="188" t="s">
        <v>666</v>
      </c>
    </row>
    <row r="165">
      <c r="A165" s="166">
        <v>164</v>
      </c>
      <c r="B165" s="189" t="s">
        <v>793</v>
      </c>
      <c r="C165" s="190" t="s">
        <v>616</v>
      </c>
    </row>
    <row r="166">
      <c r="A166" s="166">
        <v>165</v>
      </c>
      <c r="B166" s="187" t="s">
        <v>794</v>
      </c>
      <c r="C166" s="188" t="s">
        <v>656</v>
      </c>
    </row>
    <row r="167">
      <c r="A167" s="166">
        <v>166</v>
      </c>
      <c r="B167" s="189" t="s">
        <v>795</v>
      </c>
      <c r="C167" s="190" t="s">
        <v>651</v>
      </c>
    </row>
    <row r="168">
      <c r="A168" s="166">
        <v>167</v>
      </c>
      <c r="B168" s="187" t="s">
        <v>796</v>
      </c>
      <c r="C168" s="188" t="s">
        <v>623</v>
      </c>
    </row>
    <row r="169">
      <c r="A169" s="166">
        <v>168</v>
      </c>
      <c r="B169" s="189" t="s">
        <v>797</v>
      </c>
      <c r="C169" s="190" t="s">
        <v>623</v>
      </c>
    </row>
    <row r="170">
      <c r="A170" s="166">
        <v>169</v>
      </c>
      <c r="B170" s="187" t="s">
        <v>798</v>
      </c>
      <c r="C170" s="188" t="s">
        <v>625</v>
      </c>
    </row>
    <row r="171">
      <c r="A171" s="166">
        <v>170</v>
      </c>
      <c r="B171" s="189" t="s">
        <v>799</v>
      </c>
      <c r="C171" s="190" t="s">
        <v>651</v>
      </c>
    </row>
    <row r="172">
      <c r="A172" s="166">
        <v>171</v>
      </c>
      <c r="B172" s="187" t="s">
        <v>800</v>
      </c>
      <c r="C172" s="188" t="s">
        <v>656</v>
      </c>
    </row>
    <row r="173">
      <c r="A173" s="166">
        <v>172</v>
      </c>
      <c r="B173" s="189" t="s">
        <v>801</v>
      </c>
      <c r="C173" s="190" t="s">
        <v>623</v>
      </c>
    </row>
    <row r="174">
      <c r="A174" s="166">
        <v>173</v>
      </c>
      <c r="B174" s="187" t="s">
        <v>802</v>
      </c>
      <c r="C174" s="188" t="s">
        <v>623</v>
      </c>
    </row>
    <row r="175">
      <c r="A175" s="166">
        <v>174</v>
      </c>
      <c r="B175" s="189" t="s">
        <v>803</v>
      </c>
      <c r="C175" s="190" t="s">
        <v>619</v>
      </c>
    </row>
    <row r="176">
      <c r="A176" s="166">
        <v>175</v>
      </c>
      <c r="B176" s="187" t="s">
        <v>804</v>
      </c>
      <c r="C176" s="188" t="s">
        <v>656</v>
      </c>
    </row>
    <row r="177">
      <c r="A177" s="166">
        <v>176</v>
      </c>
      <c r="B177" s="189" t="s">
        <v>805</v>
      </c>
      <c r="C177" s="190" t="s">
        <v>623</v>
      </c>
    </row>
    <row r="178">
      <c r="A178" s="166">
        <v>177</v>
      </c>
      <c r="B178" s="187" t="s">
        <v>806</v>
      </c>
      <c r="C178" s="188" t="s">
        <v>623</v>
      </c>
    </row>
    <row r="179">
      <c r="A179" s="166">
        <v>178</v>
      </c>
      <c r="B179" s="189" t="s">
        <v>807</v>
      </c>
      <c r="C179" s="190" t="s">
        <v>656</v>
      </c>
    </row>
    <row r="180">
      <c r="A180" s="166">
        <v>179</v>
      </c>
      <c r="B180" s="187" t="s">
        <v>808</v>
      </c>
      <c r="C180" s="188" t="s">
        <v>611</v>
      </c>
    </row>
    <row r="181">
      <c r="A181" s="166">
        <v>180</v>
      </c>
      <c r="B181" s="189" t="s">
        <v>809</v>
      </c>
      <c r="C181" s="190" t="s">
        <v>623</v>
      </c>
    </row>
    <row r="182">
      <c r="A182" s="166">
        <v>181</v>
      </c>
      <c r="B182" s="187" t="s">
        <v>810</v>
      </c>
      <c r="C182" s="188" t="s">
        <v>616</v>
      </c>
    </row>
    <row r="183">
      <c r="A183" s="166">
        <v>182</v>
      </c>
      <c r="B183" s="189" t="s">
        <v>811</v>
      </c>
      <c r="C183" s="190" t="s">
        <v>666</v>
      </c>
    </row>
    <row r="184">
      <c r="A184" s="166">
        <v>183</v>
      </c>
      <c r="B184" s="187" t="s">
        <v>812</v>
      </c>
      <c r="C184" s="188" t="s">
        <v>670</v>
      </c>
    </row>
    <row r="185">
      <c r="A185" s="166">
        <v>184</v>
      </c>
      <c r="B185" s="189" t="s">
        <v>813</v>
      </c>
      <c r="C185" s="190" t="s">
        <v>619</v>
      </c>
    </row>
    <row r="186">
      <c r="A186" s="166">
        <v>185</v>
      </c>
      <c r="B186" s="187" t="s">
        <v>814</v>
      </c>
      <c r="C186" s="188" t="s">
        <v>666</v>
      </c>
    </row>
    <row r="187">
      <c r="A187" s="166">
        <v>186</v>
      </c>
      <c r="B187" s="189" t="s">
        <v>815</v>
      </c>
      <c r="C187" s="190" t="s">
        <v>666</v>
      </c>
    </row>
    <row r="188">
      <c r="A188" s="166">
        <v>187</v>
      </c>
      <c r="B188" s="187" t="s">
        <v>816</v>
      </c>
      <c r="C188" s="188" t="s">
        <v>623</v>
      </c>
    </row>
    <row r="189">
      <c r="A189" s="166">
        <v>188</v>
      </c>
      <c r="B189" s="189" t="s">
        <v>817</v>
      </c>
      <c r="C189" s="190" t="s">
        <v>623</v>
      </c>
    </row>
    <row r="190">
      <c r="A190" s="166">
        <v>189</v>
      </c>
      <c r="B190" s="187" t="s">
        <v>818</v>
      </c>
      <c r="C190" s="188" t="s">
        <v>679</v>
      </c>
    </row>
    <row r="191">
      <c r="A191" s="166">
        <v>190</v>
      </c>
      <c r="B191" s="189" t="s">
        <v>819</v>
      </c>
      <c r="C191" s="190" t="s">
        <v>666</v>
      </c>
    </row>
    <row r="192">
      <c r="A192" s="166">
        <v>191</v>
      </c>
      <c r="B192" s="187" t="s">
        <v>820</v>
      </c>
      <c r="C192" s="188" t="s">
        <v>666</v>
      </c>
    </row>
    <row r="193">
      <c r="A193" s="166">
        <v>192</v>
      </c>
      <c r="B193" s="189" t="s">
        <v>821</v>
      </c>
      <c r="C193" s="190" t="s">
        <v>744</v>
      </c>
    </row>
    <row r="194">
      <c r="A194" s="166">
        <v>193</v>
      </c>
      <c r="B194" s="187" t="s">
        <v>822</v>
      </c>
      <c r="C194" s="188" t="s">
        <v>666</v>
      </c>
    </row>
    <row r="195">
      <c r="A195" s="166">
        <v>194</v>
      </c>
      <c r="B195" s="189" t="s">
        <v>823</v>
      </c>
      <c r="C195" s="190" t="s">
        <v>666</v>
      </c>
    </row>
    <row r="196">
      <c r="A196" s="166">
        <v>195</v>
      </c>
      <c r="B196" s="187" t="s">
        <v>824</v>
      </c>
      <c r="C196" s="188" t="s">
        <v>623</v>
      </c>
    </row>
    <row r="197">
      <c r="A197" s="166">
        <v>196</v>
      </c>
      <c r="B197" s="189" t="s">
        <v>825</v>
      </c>
      <c r="C197" s="190" t="s">
        <v>724</v>
      </c>
    </row>
    <row r="198">
      <c r="A198" s="166">
        <v>197</v>
      </c>
      <c r="B198" s="187" t="s">
        <v>826</v>
      </c>
      <c r="C198" s="188" t="s">
        <v>623</v>
      </c>
    </row>
    <row r="199">
      <c r="A199" s="166">
        <v>198</v>
      </c>
      <c r="B199" s="189" t="s">
        <v>827</v>
      </c>
      <c r="C199" s="190" t="s">
        <v>659</v>
      </c>
    </row>
    <row r="200">
      <c r="A200" s="166">
        <v>199</v>
      </c>
      <c r="B200" s="187" t="s">
        <v>828</v>
      </c>
      <c r="C200" s="188" t="s">
        <v>613</v>
      </c>
    </row>
    <row r="201">
      <c r="A201" s="166">
        <v>200</v>
      </c>
      <c r="B201" s="189" t="s">
        <v>829</v>
      </c>
      <c r="C201" s="190" t="s">
        <v>616</v>
      </c>
    </row>
    <row r="202">
      <c r="A202" s="166">
        <v>201</v>
      </c>
      <c r="B202" s="187" t="s">
        <v>830</v>
      </c>
      <c r="C202" s="188" t="s">
        <v>616</v>
      </c>
    </row>
    <row r="203">
      <c r="A203" s="166">
        <v>202</v>
      </c>
      <c r="B203" s="189" t="s">
        <v>831</v>
      </c>
      <c r="C203" s="190" t="s">
        <v>666</v>
      </c>
    </row>
    <row r="204">
      <c r="A204" s="166">
        <v>203</v>
      </c>
      <c r="B204" s="187" t="s">
        <v>832</v>
      </c>
      <c r="C204" s="188" t="s">
        <v>679</v>
      </c>
    </row>
    <row r="205">
      <c r="A205" s="166">
        <v>204</v>
      </c>
      <c r="B205" s="189" t="s">
        <v>833</v>
      </c>
      <c r="C205" s="190" t="s">
        <v>744</v>
      </c>
    </row>
    <row r="206">
      <c r="A206" s="166">
        <v>205</v>
      </c>
      <c r="B206" s="187" t="s">
        <v>834</v>
      </c>
      <c r="C206" s="188" t="s">
        <v>666</v>
      </c>
    </row>
    <row r="207">
      <c r="A207" s="166">
        <v>206</v>
      </c>
      <c r="B207" s="189" t="s">
        <v>835</v>
      </c>
      <c r="C207" s="190" t="s">
        <v>666</v>
      </c>
    </row>
    <row r="208">
      <c r="A208" s="166">
        <v>207</v>
      </c>
      <c r="B208" s="187" t="s">
        <v>836</v>
      </c>
      <c r="C208" s="188" t="s">
        <v>623</v>
      </c>
    </row>
    <row r="209">
      <c r="A209" s="166">
        <v>208</v>
      </c>
      <c r="B209" s="189" t="s">
        <v>837</v>
      </c>
      <c r="C209" s="190" t="s">
        <v>623</v>
      </c>
    </row>
    <row r="210">
      <c r="A210" s="166">
        <v>209</v>
      </c>
      <c r="B210" s="187" t="s">
        <v>838</v>
      </c>
      <c r="C210" s="188" t="s">
        <v>656</v>
      </c>
    </row>
    <row r="211">
      <c r="A211" s="166">
        <v>210</v>
      </c>
      <c r="B211" s="189" t="s">
        <v>839</v>
      </c>
      <c r="C211" s="190" t="s">
        <v>625</v>
      </c>
    </row>
    <row r="212">
      <c r="A212" s="166">
        <v>211</v>
      </c>
      <c r="B212" s="187" t="s">
        <v>840</v>
      </c>
      <c r="C212" s="188" t="s">
        <v>611</v>
      </c>
    </row>
    <row r="213">
      <c r="A213" s="166">
        <v>212</v>
      </c>
      <c r="B213" s="189" t="s">
        <v>841</v>
      </c>
      <c r="C213" s="190" t="s">
        <v>623</v>
      </c>
    </row>
    <row r="214">
      <c r="A214" s="166">
        <v>213</v>
      </c>
      <c r="B214" s="187" t="s">
        <v>842</v>
      </c>
      <c r="C214" s="188" t="s">
        <v>623</v>
      </c>
    </row>
    <row r="215">
      <c r="A215" s="166">
        <v>214</v>
      </c>
      <c r="B215" s="189" t="s">
        <v>843</v>
      </c>
      <c r="C215" s="190" t="s">
        <v>623</v>
      </c>
    </row>
    <row r="216">
      <c r="A216" s="166">
        <v>215</v>
      </c>
      <c r="B216" s="187" t="s">
        <v>844</v>
      </c>
      <c r="C216" s="188" t="s">
        <v>666</v>
      </c>
    </row>
    <row r="217">
      <c r="A217" s="166">
        <v>216</v>
      </c>
      <c r="B217" s="189" t="s">
        <v>845</v>
      </c>
      <c r="C217" s="190" t="s">
        <v>625</v>
      </c>
    </row>
    <row r="218">
      <c r="A218" s="166">
        <v>217</v>
      </c>
      <c r="B218" s="187" t="s">
        <v>846</v>
      </c>
      <c r="C218" s="188" t="s">
        <v>623</v>
      </c>
    </row>
    <row r="219">
      <c r="A219" s="166">
        <v>218</v>
      </c>
      <c r="B219" s="189" t="s">
        <v>847</v>
      </c>
      <c r="C219" s="190" t="s">
        <v>616</v>
      </c>
    </row>
    <row r="220">
      <c r="A220" s="166">
        <v>219</v>
      </c>
      <c r="B220" s="187" t="s">
        <v>848</v>
      </c>
      <c r="C220" s="188" t="s">
        <v>616</v>
      </c>
    </row>
    <row r="221">
      <c r="A221" s="166">
        <v>220</v>
      </c>
      <c r="B221" s="189" t="s">
        <v>849</v>
      </c>
      <c r="C221" s="190" t="s">
        <v>753</v>
      </c>
    </row>
    <row r="222">
      <c r="A222" s="166">
        <v>221</v>
      </c>
      <c r="B222" s="187" t="s">
        <v>850</v>
      </c>
      <c r="C222" s="188" t="s">
        <v>753</v>
      </c>
    </row>
    <row r="223">
      <c r="A223" s="166">
        <v>222</v>
      </c>
      <c r="B223" s="189" t="s">
        <v>851</v>
      </c>
      <c r="C223" s="190" t="s">
        <v>753</v>
      </c>
    </row>
    <row r="224">
      <c r="A224" s="166">
        <v>223</v>
      </c>
      <c r="B224" s="187" t="s">
        <v>852</v>
      </c>
      <c r="C224" s="188" t="s">
        <v>753</v>
      </c>
    </row>
    <row r="225">
      <c r="A225" s="166">
        <v>224</v>
      </c>
      <c r="B225" s="189" t="s">
        <v>853</v>
      </c>
      <c r="C225" s="190" t="s">
        <v>753</v>
      </c>
    </row>
    <row r="226">
      <c r="A226" s="166">
        <v>225</v>
      </c>
      <c r="B226" s="187" t="s">
        <v>854</v>
      </c>
      <c r="C226" s="188" t="s">
        <v>623</v>
      </c>
    </row>
    <row r="227">
      <c r="A227" s="166">
        <v>226</v>
      </c>
      <c r="B227" s="189" t="s">
        <v>855</v>
      </c>
      <c r="C227" s="190" t="s">
        <v>623</v>
      </c>
    </row>
    <row r="228">
      <c r="A228" s="166">
        <v>227</v>
      </c>
      <c r="B228" s="187" t="s">
        <v>856</v>
      </c>
      <c r="C228" s="188" t="s">
        <v>651</v>
      </c>
    </row>
    <row r="229">
      <c r="A229" s="166">
        <v>228</v>
      </c>
      <c r="B229" s="189" t="s">
        <v>857</v>
      </c>
      <c r="C229" s="190" t="s">
        <v>651</v>
      </c>
    </row>
    <row r="230">
      <c r="A230" s="166">
        <v>229</v>
      </c>
      <c r="B230" s="187" t="s">
        <v>858</v>
      </c>
      <c r="C230" s="188" t="s">
        <v>651</v>
      </c>
    </row>
    <row r="231">
      <c r="A231" s="166">
        <v>230</v>
      </c>
      <c r="B231" s="189" t="s">
        <v>859</v>
      </c>
      <c r="C231" s="190" t="s">
        <v>651</v>
      </c>
    </row>
    <row r="232">
      <c r="A232" s="166">
        <v>231</v>
      </c>
      <c r="B232" s="187" t="s">
        <v>860</v>
      </c>
      <c r="C232" s="188" t="s">
        <v>623</v>
      </c>
    </row>
    <row r="233">
      <c r="A233" s="166">
        <v>232</v>
      </c>
      <c r="B233" s="189" t="s">
        <v>861</v>
      </c>
      <c r="C233" s="190" t="s">
        <v>670</v>
      </c>
    </row>
    <row r="234">
      <c r="A234" s="166">
        <v>233</v>
      </c>
      <c r="B234" s="187" t="s">
        <v>862</v>
      </c>
      <c r="C234" s="188" t="s">
        <v>724</v>
      </c>
    </row>
    <row r="235">
      <c r="A235" s="166">
        <v>234</v>
      </c>
      <c r="B235" s="189" t="s">
        <v>863</v>
      </c>
      <c r="C235" s="190" t="s">
        <v>619</v>
      </c>
    </row>
    <row r="236">
      <c r="A236" s="166">
        <v>235</v>
      </c>
      <c r="B236" s="187" t="s">
        <v>864</v>
      </c>
      <c r="C236" s="188" t="s">
        <v>651</v>
      </c>
    </row>
    <row r="237">
      <c r="A237" s="166">
        <v>236</v>
      </c>
      <c r="B237" s="189" t="s">
        <v>865</v>
      </c>
      <c r="C237" s="190" t="s">
        <v>651</v>
      </c>
    </row>
    <row r="238">
      <c r="A238" s="166">
        <v>237</v>
      </c>
      <c r="B238" s="187" t="s">
        <v>866</v>
      </c>
      <c r="C238" s="188" t="s">
        <v>651</v>
      </c>
    </row>
    <row r="239">
      <c r="A239" s="166">
        <v>238</v>
      </c>
      <c r="B239" s="189" t="s">
        <v>867</v>
      </c>
      <c r="C239" s="190" t="s">
        <v>651</v>
      </c>
    </row>
    <row r="240">
      <c r="A240" s="166">
        <v>239</v>
      </c>
      <c r="B240" s="187" t="s">
        <v>868</v>
      </c>
      <c r="C240" s="188" t="s">
        <v>651</v>
      </c>
    </row>
    <row r="241">
      <c r="A241" s="166">
        <v>240</v>
      </c>
      <c r="B241" s="189" t="s">
        <v>869</v>
      </c>
      <c r="C241" s="190" t="s">
        <v>651</v>
      </c>
    </row>
    <row r="242">
      <c r="A242" s="166">
        <v>241</v>
      </c>
      <c r="B242" s="187" t="s">
        <v>870</v>
      </c>
      <c r="C242" s="188" t="s">
        <v>651</v>
      </c>
    </row>
    <row r="243">
      <c r="A243" s="166">
        <v>242</v>
      </c>
      <c r="B243" s="189" t="s">
        <v>871</v>
      </c>
      <c r="C243" s="190" t="s">
        <v>623</v>
      </c>
    </row>
    <row r="244">
      <c r="A244" s="166">
        <v>243</v>
      </c>
      <c r="B244" s="187" t="s">
        <v>872</v>
      </c>
      <c r="C244" s="188" t="s">
        <v>625</v>
      </c>
    </row>
    <row r="245">
      <c r="A245" s="166">
        <v>244</v>
      </c>
      <c r="B245" s="189" t="s">
        <v>873</v>
      </c>
      <c r="C245" s="190" t="s">
        <v>611</v>
      </c>
    </row>
    <row r="246">
      <c r="A246" s="166">
        <v>245</v>
      </c>
      <c r="B246" s="187" t="s">
        <v>874</v>
      </c>
      <c r="C246" s="188" t="s">
        <v>625</v>
      </c>
    </row>
    <row r="247">
      <c r="A247" s="166">
        <v>246</v>
      </c>
      <c r="B247" s="189" t="s">
        <v>875</v>
      </c>
      <c r="C247" s="190" t="s">
        <v>623</v>
      </c>
    </row>
    <row r="248">
      <c r="A248" s="166">
        <v>247</v>
      </c>
      <c r="B248" s="187" t="s">
        <v>876</v>
      </c>
      <c r="C248" s="188" t="s">
        <v>623</v>
      </c>
    </row>
    <row r="249">
      <c r="A249" s="166">
        <v>248</v>
      </c>
      <c r="B249" s="189" t="s">
        <v>877</v>
      </c>
      <c r="C249" s="190" t="s">
        <v>623</v>
      </c>
    </row>
    <row r="250">
      <c r="A250" s="166">
        <v>249</v>
      </c>
      <c r="B250" s="187" t="s">
        <v>878</v>
      </c>
      <c r="C250" s="188" t="s">
        <v>623</v>
      </c>
    </row>
    <row r="251">
      <c r="A251" s="166">
        <v>250</v>
      </c>
      <c r="B251" s="189" t="s">
        <v>879</v>
      </c>
      <c r="C251" s="190" t="s">
        <v>611</v>
      </c>
    </row>
    <row r="252">
      <c r="A252" s="166">
        <v>251</v>
      </c>
      <c r="B252" s="187" t="s">
        <v>880</v>
      </c>
      <c r="C252" s="188" t="s">
        <v>623</v>
      </c>
    </row>
    <row r="253">
      <c r="A253" s="166">
        <v>252</v>
      </c>
      <c r="B253" s="189" t="s">
        <v>881</v>
      </c>
      <c r="C253" s="190" t="s">
        <v>623</v>
      </c>
    </row>
    <row r="254">
      <c r="A254" s="166">
        <v>253</v>
      </c>
      <c r="B254" s="187" t="s">
        <v>882</v>
      </c>
      <c r="C254" s="188" t="s">
        <v>619</v>
      </c>
    </row>
    <row r="255">
      <c r="A255" s="166">
        <v>254</v>
      </c>
      <c r="B255" s="189" t="s">
        <v>883</v>
      </c>
      <c r="C255" s="190" t="s">
        <v>623</v>
      </c>
    </row>
    <row r="256">
      <c r="A256" s="166">
        <v>255</v>
      </c>
      <c r="B256" s="187" t="s">
        <v>884</v>
      </c>
      <c r="C256" s="188" t="s">
        <v>616</v>
      </c>
    </row>
    <row r="257">
      <c r="A257" s="166">
        <v>256</v>
      </c>
      <c r="B257" s="189" t="s">
        <v>885</v>
      </c>
      <c r="C257" s="190" t="s">
        <v>886</v>
      </c>
    </row>
    <row r="258">
      <c r="A258" s="166">
        <v>257</v>
      </c>
      <c r="B258" s="187" t="s">
        <v>887</v>
      </c>
      <c r="C258" s="188" t="s">
        <v>886</v>
      </c>
    </row>
    <row r="259">
      <c r="A259" s="166">
        <v>258</v>
      </c>
      <c r="B259" s="189" t="s">
        <v>888</v>
      </c>
      <c r="C259" s="190" t="s">
        <v>886</v>
      </c>
    </row>
    <row r="260">
      <c r="A260" s="166">
        <v>259</v>
      </c>
      <c r="B260" s="187" t="s">
        <v>889</v>
      </c>
      <c r="C260" s="188" t="s">
        <v>664</v>
      </c>
    </row>
    <row r="261">
      <c r="A261" s="166">
        <v>260</v>
      </c>
      <c r="B261" s="189" t="s">
        <v>890</v>
      </c>
      <c r="C261" s="190" t="s">
        <v>611</v>
      </c>
    </row>
    <row r="262">
      <c r="A262" s="166">
        <v>261</v>
      </c>
      <c r="B262" s="187" t="s">
        <v>891</v>
      </c>
      <c r="C262" s="188" t="s">
        <v>619</v>
      </c>
    </row>
    <row r="263">
      <c r="A263" s="166">
        <v>262</v>
      </c>
      <c r="B263" s="189" t="s">
        <v>892</v>
      </c>
      <c r="C263" s="190" t="s">
        <v>611</v>
      </c>
    </row>
    <row r="264">
      <c r="A264" s="166">
        <v>263</v>
      </c>
      <c r="B264" s="187" t="s">
        <v>893</v>
      </c>
      <c r="C264" s="188" t="s">
        <v>670</v>
      </c>
    </row>
    <row r="265">
      <c r="A265" s="166">
        <v>264</v>
      </c>
      <c r="B265" s="191" t="s">
        <v>894</v>
      </c>
      <c r="C265" s="192" t="s">
        <v>613</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H118" activeCellId="0" sqref="H118"/>
    </sheetView>
  </sheetViews>
  <sheetFormatPr baseColWidth="10" defaultRowHeight="15"/>
  <cols>
    <col customWidth="1" min="1" max="1" width="10.5703125"/>
    <col customWidth="1" min="2" max="2" width="18.7109375"/>
    <col customWidth="1" min="3" max="3" width="30.7109375"/>
    <col customWidth="1" min="4" max="4" width="100.7109375"/>
  </cols>
  <sheetData>
    <row r="1">
      <c r="A1" s="165" t="s">
        <v>895</v>
      </c>
      <c r="B1" s="165" t="s">
        <v>68</v>
      </c>
      <c r="C1" s="165" t="s">
        <v>896</v>
      </c>
      <c r="D1" s="165" t="s">
        <v>897</v>
      </c>
    </row>
    <row r="2" ht="50.100000000000001" customHeight="1">
      <c r="A2" s="193">
        <v>1</v>
      </c>
      <c r="B2" s="193" t="s">
        <v>898</v>
      </c>
      <c r="C2" s="193" t="s">
        <v>899</v>
      </c>
      <c r="D2" s="194" t="s">
        <v>900</v>
      </c>
      <c r="E2" s="195"/>
    </row>
    <row r="3" ht="39.950000000000003" customHeight="1">
      <c r="A3" s="193">
        <v>2</v>
      </c>
      <c r="B3" s="193" t="s">
        <v>901</v>
      </c>
      <c r="C3" s="193" t="s">
        <v>902</v>
      </c>
      <c r="D3" s="194"/>
      <c r="E3" s="195"/>
    </row>
    <row r="4" ht="39.950000000000003" customHeight="1">
      <c r="A4" s="193">
        <v>3</v>
      </c>
      <c r="B4" s="193" t="s">
        <v>903</v>
      </c>
      <c r="C4" s="193" t="s">
        <v>904</v>
      </c>
      <c r="D4" s="194" t="s">
        <v>905</v>
      </c>
      <c r="E4" s="195"/>
    </row>
    <row r="5" ht="39.950000000000003" customHeight="1">
      <c r="A5" s="193">
        <v>4</v>
      </c>
      <c r="B5" s="193" t="s">
        <v>906</v>
      </c>
      <c r="C5" s="193" t="s">
        <v>907</v>
      </c>
      <c r="D5" s="194" t="s">
        <v>908</v>
      </c>
      <c r="E5" s="195"/>
    </row>
    <row r="6" ht="39.950000000000003" customHeight="1">
      <c r="A6" s="193">
        <v>5</v>
      </c>
      <c r="B6" s="193" t="s">
        <v>909</v>
      </c>
      <c r="C6" s="193"/>
      <c r="D6" s="194" t="s">
        <v>910</v>
      </c>
      <c r="E6" s="195"/>
    </row>
    <row r="7" ht="39.950000000000003" customHeight="1">
      <c r="A7" s="193">
        <v>6</v>
      </c>
      <c r="B7" s="193" t="s">
        <v>911</v>
      </c>
      <c r="C7" s="193" t="s">
        <v>912</v>
      </c>
      <c r="D7" s="194" t="s">
        <v>913</v>
      </c>
      <c r="E7" s="195"/>
    </row>
    <row r="8" ht="39.950000000000003" customHeight="1">
      <c r="A8" s="193">
        <v>7</v>
      </c>
      <c r="B8" s="193" t="s">
        <v>914</v>
      </c>
      <c r="C8" s="193" t="s">
        <v>915</v>
      </c>
      <c r="D8" s="194" t="s">
        <v>916</v>
      </c>
      <c r="E8" s="195"/>
    </row>
    <row r="9" ht="39.950000000000003" customHeight="1">
      <c r="A9" s="193">
        <v>8</v>
      </c>
      <c r="B9" s="193" t="s">
        <v>917</v>
      </c>
      <c r="C9" s="193" t="s">
        <v>918</v>
      </c>
      <c r="D9" s="194" t="s">
        <v>919</v>
      </c>
      <c r="E9" s="195"/>
    </row>
    <row r="10" ht="39.950000000000003" customHeight="1">
      <c r="A10" s="193">
        <v>9</v>
      </c>
      <c r="B10" s="193" t="s">
        <v>920</v>
      </c>
      <c r="C10" s="193" t="s">
        <v>921</v>
      </c>
      <c r="D10" s="194" t="s">
        <v>922</v>
      </c>
      <c r="E10" s="195"/>
    </row>
    <row r="11" ht="39.950000000000003" customHeight="1">
      <c r="A11" s="193">
        <v>10</v>
      </c>
      <c r="B11" s="193" t="s">
        <v>923</v>
      </c>
      <c r="C11" s="193" t="s">
        <v>924</v>
      </c>
      <c r="D11" s="194" t="s">
        <v>925</v>
      </c>
      <c r="E11" s="195"/>
    </row>
    <row r="12" ht="39.950000000000003" customHeight="1">
      <c r="A12" s="193">
        <v>11</v>
      </c>
      <c r="B12" s="193" t="s">
        <v>926</v>
      </c>
      <c r="C12" s="193" t="s">
        <v>927</v>
      </c>
      <c r="D12" s="194" t="s">
        <v>928</v>
      </c>
      <c r="E12" s="195"/>
    </row>
    <row r="13" ht="39.950000000000003" customHeight="1">
      <c r="A13" s="193">
        <v>12</v>
      </c>
      <c r="B13" s="193" t="s">
        <v>929</v>
      </c>
      <c r="C13" s="193" t="s">
        <v>930</v>
      </c>
      <c r="D13" s="194" t="s">
        <v>931</v>
      </c>
      <c r="E13" s="195"/>
    </row>
    <row r="14" ht="39.950000000000003" customHeight="1">
      <c r="A14" s="193">
        <v>13</v>
      </c>
      <c r="B14" s="193" t="s">
        <v>932</v>
      </c>
      <c r="C14" s="193" t="s">
        <v>933</v>
      </c>
      <c r="D14" s="194" t="s">
        <v>934</v>
      </c>
      <c r="E14" s="195"/>
    </row>
    <row r="15" ht="39.950000000000003" customHeight="1">
      <c r="A15" s="193">
        <v>14</v>
      </c>
      <c r="B15" s="193" t="s">
        <v>935</v>
      </c>
      <c r="C15" s="193" t="s">
        <v>936</v>
      </c>
      <c r="D15" s="194" t="s">
        <v>937</v>
      </c>
      <c r="E15" s="195"/>
    </row>
    <row r="16" ht="39.950000000000003" customHeight="1">
      <c r="A16" s="193">
        <v>15</v>
      </c>
      <c r="B16" s="193" t="s">
        <v>938</v>
      </c>
      <c r="C16" s="193" t="s">
        <v>939</v>
      </c>
      <c r="D16" s="194" t="s">
        <v>940</v>
      </c>
      <c r="E16" s="195"/>
    </row>
    <row r="17" ht="39.950000000000003" customHeight="1">
      <c r="A17" s="193">
        <v>16</v>
      </c>
      <c r="B17" s="193" t="s">
        <v>941</v>
      </c>
      <c r="C17" s="193" t="s">
        <v>942</v>
      </c>
      <c r="D17" s="194" t="s">
        <v>943</v>
      </c>
      <c r="E17" s="195"/>
    </row>
    <row r="18" ht="39.950000000000003" customHeight="1">
      <c r="A18" s="193">
        <v>17</v>
      </c>
      <c r="B18" s="193" t="s">
        <v>944</v>
      </c>
      <c r="C18" s="193" t="s">
        <v>945</v>
      </c>
      <c r="D18" s="194" t="s">
        <v>946</v>
      </c>
      <c r="E18" s="195"/>
    </row>
    <row r="19" ht="39.950000000000003" customHeight="1">
      <c r="A19" s="193">
        <v>18</v>
      </c>
      <c r="B19" s="193" t="s">
        <v>947</v>
      </c>
      <c r="C19" s="193" t="s">
        <v>948</v>
      </c>
      <c r="D19" s="194" t="s">
        <v>949</v>
      </c>
      <c r="E19" s="195"/>
    </row>
    <row r="20" ht="60" customHeight="1">
      <c r="A20" s="193">
        <v>19</v>
      </c>
      <c r="B20" s="193" t="s">
        <v>950</v>
      </c>
      <c r="C20" s="193" t="s">
        <v>951</v>
      </c>
      <c r="D20" s="194" t="s">
        <v>952</v>
      </c>
      <c r="E20" s="195"/>
    </row>
    <row r="21" ht="39.950000000000003" customHeight="1">
      <c r="A21" s="193">
        <v>20</v>
      </c>
      <c r="B21" s="193" t="s">
        <v>953</v>
      </c>
      <c r="C21" s="193" t="s">
        <v>954</v>
      </c>
      <c r="D21" s="194" t="s">
        <v>955</v>
      </c>
      <c r="E21" s="195"/>
    </row>
    <row r="22" ht="39.950000000000003" customHeight="1">
      <c r="A22" s="193">
        <v>21</v>
      </c>
      <c r="B22" s="193" t="s">
        <v>956</v>
      </c>
      <c r="C22" s="193" t="s">
        <v>957</v>
      </c>
      <c r="D22" s="194" t="s">
        <v>958</v>
      </c>
      <c r="E22" s="195"/>
    </row>
    <row r="23" ht="39.950000000000003" customHeight="1">
      <c r="A23" s="193">
        <v>22</v>
      </c>
      <c r="B23" s="193" t="s">
        <v>959</v>
      </c>
      <c r="C23" s="193" t="s">
        <v>960</v>
      </c>
      <c r="D23" s="194" t="s">
        <v>961</v>
      </c>
      <c r="E23" s="195"/>
    </row>
    <row r="24" ht="39.950000000000003" customHeight="1">
      <c r="A24" s="193">
        <v>23</v>
      </c>
      <c r="B24" s="193" t="s">
        <v>962</v>
      </c>
      <c r="C24" s="193" t="s">
        <v>963</v>
      </c>
      <c r="D24" s="194" t="s">
        <v>964</v>
      </c>
      <c r="E24" s="195"/>
    </row>
    <row r="25" ht="50.100000000000001" customHeight="1">
      <c r="A25" s="193">
        <v>24</v>
      </c>
      <c r="B25" s="193" t="s">
        <v>965</v>
      </c>
      <c r="C25" s="193" t="s">
        <v>966</v>
      </c>
      <c r="D25" s="194" t="s">
        <v>967</v>
      </c>
      <c r="E25" s="195"/>
    </row>
    <row r="26" ht="39.950000000000003" customHeight="1">
      <c r="A26" s="193">
        <v>25</v>
      </c>
      <c r="B26" s="193" t="s">
        <v>968</v>
      </c>
      <c r="C26" s="193" t="s">
        <v>969</v>
      </c>
      <c r="D26" s="194" t="s">
        <v>970</v>
      </c>
      <c r="E26" s="195"/>
    </row>
    <row r="27" ht="50.100000000000001" customHeight="1">
      <c r="A27" s="193">
        <v>26</v>
      </c>
      <c r="B27" s="193" t="s">
        <v>971</v>
      </c>
      <c r="C27" s="193" t="s">
        <v>972</v>
      </c>
      <c r="D27" s="194" t="s">
        <v>973</v>
      </c>
      <c r="E27" s="195"/>
    </row>
    <row r="28" ht="39.950000000000003" customHeight="1">
      <c r="A28" s="193">
        <v>27</v>
      </c>
      <c r="B28" s="193" t="s">
        <v>974</v>
      </c>
      <c r="C28" s="193" t="s">
        <v>975</v>
      </c>
      <c r="D28" s="194" t="s">
        <v>976</v>
      </c>
      <c r="E28" s="195"/>
    </row>
    <row r="29" ht="39.950000000000003" customHeight="1">
      <c r="A29" s="193">
        <v>28</v>
      </c>
      <c r="B29" s="193" t="s">
        <v>977</v>
      </c>
      <c r="C29" s="193" t="s">
        <v>978</v>
      </c>
      <c r="D29" s="194" t="s">
        <v>979</v>
      </c>
      <c r="E29" s="195"/>
    </row>
    <row r="30" ht="39.950000000000003" customHeight="1">
      <c r="A30" s="193">
        <v>29</v>
      </c>
      <c r="B30" s="193" t="s">
        <v>980</v>
      </c>
      <c r="C30" s="193" t="s">
        <v>981</v>
      </c>
      <c r="D30" s="194" t="s">
        <v>982</v>
      </c>
      <c r="E30" s="195"/>
    </row>
    <row r="31" ht="39.950000000000003" customHeight="1">
      <c r="A31" s="193">
        <v>30</v>
      </c>
      <c r="B31" s="193" t="s">
        <v>983</v>
      </c>
      <c r="C31" s="193" t="s">
        <v>983</v>
      </c>
      <c r="D31" s="194" t="s">
        <v>984</v>
      </c>
      <c r="E31" s="195"/>
    </row>
    <row r="32" ht="39.950000000000003" customHeight="1">
      <c r="A32" s="193">
        <v>31</v>
      </c>
      <c r="B32" s="193" t="s">
        <v>985</v>
      </c>
      <c r="C32" s="193" t="s">
        <v>986</v>
      </c>
      <c r="D32" s="194" t="s">
        <v>987</v>
      </c>
      <c r="E32" s="195"/>
    </row>
    <row r="33" ht="39.950000000000003" customHeight="1">
      <c r="A33" s="193">
        <v>32</v>
      </c>
      <c r="B33" s="193" t="s">
        <v>988</v>
      </c>
      <c r="C33" s="193" t="s">
        <v>989</v>
      </c>
      <c r="D33" s="194" t="s">
        <v>990</v>
      </c>
      <c r="E33" s="195"/>
    </row>
    <row r="34" ht="39.950000000000003" customHeight="1">
      <c r="A34" s="193">
        <v>33</v>
      </c>
      <c r="B34" s="193" t="s">
        <v>991</v>
      </c>
      <c r="C34" s="193" t="s">
        <v>992</v>
      </c>
      <c r="D34" s="194" t="s">
        <v>993</v>
      </c>
      <c r="E34" s="195"/>
    </row>
    <row r="35" ht="50.100000000000001" customHeight="1">
      <c r="A35" s="193">
        <v>34</v>
      </c>
      <c r="B35" s="193" t="s">
        <v>994</v>
      </c>
      <c r="C35" s="193" t="s">
        <v>995</v>
      </c>
      <c r="D35" s="194" t="s">
        <v>996</v>
      </c>
      <c r="E35" s="195"/>
    </row>
    <row r="36" ht="39.950000000000003" customHeight="1">
      <c r="A36" s="193">
        <v>35</v>
      </c>
      <c r="B36" s="193" t="s">
        <v>997</v>
      </c>
      <c r="C36" s="193" t="s">
        <v>998</v>
      </c>
      <c r="D36" s="194" t="s">
        <v>999</v>
      </c>
      <c r="E36" s="195"/>
    </row>
    <row r="37" ht="39.950000000000003" customHeight="1">
      <c r="A37" s="193">
        <v>36</v>
      </c>
      <c r="B37" s="193" t="s">
        <v>1000</v>
      </c>
      <c r="C37" s="193" t="s">
        <v>1001</v>
      </c>
      <c r="D37" s="194" t="s">
        <v>1002</v>
      </c>
      <c r="E37" s="195"/>
    </row>
    <row r="38" ht="39.950000000000003" customHeight="1">
      <c r="A38" s="193">
        <v>37</v>
      </c>
      <c r="B38" s="193" t="s">
        <v>1003</v>
      </c>
      <c r="C38" s="193" t="s">
        <v>1004</v>
      </c>
      <c r="D38" s="194" t="s">
        <v>1005</v>
      </c>
      <c r="E38" s="195"/>
    </row>
    <row r="39" ht="39.950000000000003" customHeight="1">
      <c r="A39" s="193">
        <v>38</v>
      </c>
      <c r="B39" s="193" t="s">
        <v>1006</v>
      </c>
      <c r="C39" s="193" t="s">
        <v>1007</v>
      </c>
      <c r="D39" s="194" t="s">
        <v>1008</v>
      </c>
      <c r="E39" s="195"/>
    </row>
    <row r="40" ht="39.950000000000003" customHeight="1">
      <c r="A40" s="193">
        <v>39</v>
      </c>
      <c r="B40" s="193" t="s">
        <v>1009</v>
      </c>
      <c r="C40" s="193" t="s">
        <v>1010</v>
      </c>
      <c r="D40" s="194" t="s">
        <v>1011</v>
      </c>
      <c r="E40" s="195"/>
    </row>
    <row r="41" ht="39.950000000000003" customHeight="1">
      <c r="A41" s="193">
        <v>40</v>
      </c>
      <c r="B41" s="193" t="s">
        <v>1012</v>
      </c>
      <c r="C41" s="193"/>
      <c r="D41" s="194"/>
      <c r="E41" s="195"/>
    </row>
    <row r="42" ht="50.100000000000001" customHeight="1">
      <c r="A42" s="193">
        <v>41</v>
      </c>
      <c r="B42" s="193" t="s">
        <v>1013</v>
      </c>
      <c r="C42" s="193" t="s">
        <v>1014</v>
      </c>
      <c r="D42" s="194" t="s">
        <v>1015</v>
      </c>
      <c r="E42" s="195"/>
    </row>
    <row r="43" ht="39.950000000000003" customHeight="1">
      <c r="A43" s="193">
        <v>42</v>
      </c>
      <c r="B43" s="193" t="s">
        <v>1016</v>
      </c>
      <c r="C43" s="193" t="s">
        <v>1017</v>
      </c>
      <c r="D43" s="194" t="s">
        <v>1018</v>
      </c>
      <c r="E43" s="195"/>
    </row>
    <row r="44" ht="39.950000000000003" customHeight="1">
      <c r="A44" s="193">
        <v>43</v>
      </c>
      <c r="B44" s="193" t="s">
        <v>1019</v>
      </c>
      <c r="C44" s="193" t="s">
        <v>1019</v>
      </c>
      <c r="D44" s="194" t="s">
        <v>1020</v>
      </c>
      <c r="E44" s="195"/>
    </row>
    <row r="45" ht="60" customHeight="1">
      <c r="A45" s="193">
        <v>44</v>
      </c>
      <c r="B45" s="193" t="s">
        <v>1021</v>
      </c>
      <c r="C45" s="193" t="s">
        <v>1022</v>
      </c>
      <c r="D45" s="194" t="s">
        <v>1023</v>
      </c>
      <c r="E45" s="195"/>
    </row>
    <row r="46" ht="39.950000000000003" customHeight="1">
      <c r="A46" s="193">
        <v>45</v>
      </c>
      <c r="B46" s="193" t="s">
        <v>1024</v>
      </c>
      <c r="C46" s="193" t="s">
        <v>1024</v>
      </c>
      <c r="D46" s="194" t="s">
        <v>1025</v>
      </c>
      <c r="E46" s="195"/>
    </row>
    <row r="47" ht="39.950000000000003" customHeight="1">
      <c r="A47" s="193">
        <v>46</v>
      </c>
      <c r="B47" s="193" t="s">
        <v>1026</v>
      </c>
      <c r="C47" s="193" t="s">
        <v>1026</v>
      </c>
      <c r="D47" s="194" t="s">
        <v>1027</v>
      </c>
      <c r="E47" s="195"/>
    </row>
    <row r="48" ht="39.950000000000003" customHeight="1">
      <c r="A48" s="193">
        <v>47</v>
      </c>
      <c r="B48" s="193" t="s">
        <v>1028</v>
      </c>
      <c r="C48" s="193" t="s">
        <v>1029</v>
      </c>
      <c r="D48" s="194" t="s">
        <v>1030</v>
      </c>
      <c r="E48" s="195"/>
    </row>
    <row r="49" ht="39.950000000000003" customHeight="1">
      <c r="A49" s="193">
        <v>48</v>
      </c>
      <c r="B49" s="193" t="s">
        <v>681</v>
      </c>
      <c r="C49" s="193"/>
      <c r="D49" s="194"/>
      <c r="E49" s="195"/>
    </row>
    <row r="50" ht="60" customHeight="1">
      <c r="A50" s="193">
        <v>49</v>
      </c>
      <c r="B50" s="193" t="s">
        <v>1031</v>
      </c>
      <c r="C50" s="193" t="s">
        <v>1032</v>
      </c>
      <c r="D50" s="194" t="s">
        <v>1033</v>
      </c>
      <c r="E50" s="195"/>
    </row>
    <row r="51" ht="60" customHeight="1">
      <c r="A51" s="193">
        <v>50</v>
      </c>
      <c r="B51" s="193" t="s">
        <v>1034</v>
      </c>
      <c r="C51" s="193" t="s">
        <v>1035</v>
      </c>
      <c r="D51" s="194" t="s">
        <v>1036</v>
      </c>
      <c r="E51" s="195"/>
    </row>
    <row r="52" ht="39.950000000000003" customHeight="1">
      <c r="A52" s="193">
        <v>51</v>
      </c>
      <c r="B52" s="193" t="s">
        <v>1037</v>
      </c>
      <c r="C52" s="193"/>
      <c r="D52" s="194"/>
      <c r="E52" s="195"/>
    </row>
    <row r="53" ht="60" customHeight="1">
      <c r="A53" s="193">
        <v>52</v>
      </c>
      <c r="B53" s="193" t="s">
        <v>1038</v>
      </c>
      <c r="C53" s="193" t="s">
        <v>1039</v>
      </c>
      <c r="D53" s="194" t="s">
        <v>1040</v>
      </c>
      <c r="E53" s="195"/>
    </row>
    <row r="54" ht="50.100000000000001" customHeight="1">
      <c r="A54" s="193">
        <v>53</v>
      </c>
      <c r="B54" s="193" t="s">
        <v>1041</v>
      </c>
      <c r="C54" s="193" t="s">
        <v>1042</v>
      </c>
      <c r="D54" s="194" t="s">
        <v>1043</v>
      </c>
      <c r="E54" s="195"/>
    </row>
    <row r="55" ht="39.950000000000003" customHeight="1">
      <c r="A55" s="193">
        <v>54</v>
      </c>
      <c r="B55" s="193" t="s">
        <v>1044</v>
      </c>
      <c r="C55" s="193" t="s">
        <v>1045</v>
      </c>
      <c r="D55" s="194" t="s">
        <v>1046</v>
      </c>
      <c r="E55" s="195"/>
    </row>
    <row r="56" ht="39.950000000000003" customHeight="1">
      <c r="A56" s="193">
        <v>55</v>
      </c>
      <c r="B56" s="193" t="s">
        <v>1047</v>
      </c>
      <c r="C56" s="193" t="s">
        <v>1048</v>
      </c>
      <c r="D56" s="194" t="s">
        <v>1049</v>
      </c>
      <c r="E56" s="195"/>
    </row>
    <row r="57" ht="50.100000000000001" customHeight="1">
      <c r="A57" s="193">
        <v>56</v>
      </c>
      <c r="B57" s="193" t="s">
        <v>1050</v>
      </c>
      <c r="C57" s="193" t="s">
        <v>1051</v>
      </c>
      <c r="D57" s="194" t="s">
        <v>1052</v>
      </c>
      <c r="E57" s="195"/>
    </row>
    <row r="58" ht="39.950000000000003" customHeight="1">
      <c r="A58" s="193">
        <v>57</v>
      </c>
      <c r="B58" s="193" t="s">
        <v>1053</v>
      </c>
      <c r="C58" s="193" t="s">
        <v>1054</v>
      </c>
      <c r="D58" s="194" t="s">
        <v>1055</v>
      </c>
      <c r="E58" s="195"/>
    </row>
    <row r="59" ht="39.950000000000003" customHeight="1">
      <c r="A59" s="193">
        <v>58</v>
      </c>
      <c r="B59" s="193" t="s">
        <v>1056</v>
      </c>
      <c r="C59" s="193" t="s">
        <v>1057</v>
      </c>
      <c r="D59" s="194" t="s">
        <v>1058</v>
      </c>
      <c r="E59" s="195"/>
    </row>
    <row r="60" ht="39.950000000000003" customHeight="1">
      <c r="A60" s="193">
        <v>59</v>
      </c>
      <c r="B60" s="193" t="s">
        <v>1059</v>
      </c>
      <c r="C60" s="193" t="s">
        <v>1060</v>
      </c>
      <c r="D60" s="194" t="s">
        <v>1061</v>
      </c>
      <c r="E60" s="195"/>
    </row>
    <row r="61" ht="39.950000000000003" customHeight="1">
      <c r="A61" s="193">
        <v>60</v>
      </c>
      <c r="B61" s="193" t="s">
        <v>1062</v>
      </c>
      <c r="C61" s="193"/>
      <c r="D61" s="194"/>
      <c r="E61" s="195"/>
    </row>
    <row r="62" ht="39.950000000000003" customHeight="1">
      <c r="A62" s="193">
        <v>61</v>
      </c>
      <c r="B62" s="193" t="s">
        <v>1063</v>
      </c>
      <c r="C62" s="193"/>
      <c r="D62" s="194"/>
      <c r="E62" s="195"/>
    </row>
    <row r="63" ht="39.950000000000003" customHeight="1">
      <c r="A63" s="193">
        <v>62</v>
      </c>
      <c r="B63" s="193" t="s">
        <v>1064</v>
      </c>
      <c r="C63" s="193" t="s">
        <v>1065</v>
      </c>
      <c r="D63" s="194" t="s">
        <v>1066</v>
      </c>
      <c r="E63" s="195"/>
    </row>
    <row r="64" ht="39.950000000000003" customHeight="1">
      <c r="A64" s="193">
        <v>63</v>
      </c>
      <c r="B64" s="193" t="s">
        <v>1067</v>
      </c>
      <c r="C64" s="193" t="s">
        <v>1068</v>
      </c>
      <c r="D64" s="194" t="s">
        <v>1069</v>
      </c>
      <c r="E64" s="195"/>
    </row>
    <row r="65" ht="50.100000000000001" customHeight="1">
      <c r="A65" s="193">
        <v>64</v>
      </c>
      <c r="B65" s="193" t="s">
        <v>1070</v>
      </c>
      <c r="C65" s="193" t="s">
        <v>1071</v>
      </c>
      <c r="D65" s="194" t="s">
        <v>1072</v>
      </c>
      <c r="E65" s="195"/>
    </row>
    <row r="66" ht="39.950000000000003" customHeight="1">
      <c r="A66" s="193">
        <v>65</v>
      </c>
      <c r="B66" s="193" t="s">
        <v>1073</v>
      </c>
      <c r="C66" s="193" t="s">
        <v>1074</v>
      </c>
      <c r="D66" s="194" t="s">
        <v>1075</v>
      </c>
      <c r="E66" s="195"/>
    </row>
    <row r="67" ht="39.950000000000003" customHeight="1">
      <c r="A67" s="193">
        <v>66</v>
      </c>
      <c r="B67" s="193" t="s">
        <v>1076</v>
      </c>
      <c r="C67" s="193" t="s">
        <v>1077</v>
      </c>
      <c r="D67" s="194" t="s">
        <v>1078</v>
      </c>
      <c r="E67" s="195"/>
    </row>
    <row r="68" ht="39.950000000000003" customHeight="1">
      <c r="A68" s="193">
        <v>67</v>
      </c>
      <c r="B68" s="193" t="s">
        <v>1079</v>
      </c>
      <c r="C68" s="193" t="s">
        <v>1080</v>
      </c>
      <c r="D68" s="194" t="s">
        <v>1081</v>
      </c>
      <c r="E68" s="195"/>
    </row>
    <row r="69" ht="39.950000000000003" customHeight="1">
      <c r="A69" s="193">
        <v>68</v>
      </c>
      <c r="B69" s="193" t="s">
        <v>1082</v>
      </c>
      <c r="C69" s="193" t="s">
        <v>1083</v>
      </c>
      <c r="D69" s="194" t="s">
        <v>1084</v>
      </c>
      <c r="E69" s="195"/>
    </row>
    <row r="70" ht="39.950000000000003" customHeight="1">
      <c r="A70" s="193">
        <v>69</v>
      </c>
      <c r="B70" s="193" t="s">
        <v>1085</v>
      </c>
      <c r="C70" s="193" t="s">
        <v>1086</v>
      </c>
      <c r="D70" s="194" t="s">
        <v>1087</v>
      </c>
      <c r="E70" s="195"/>
    </row>
    <row r="71" ht="39.950000000000003" customHeight="1">
      <c r="A71" s="193">
        <v>70</v>
      </c>
      <c r="B71" s="193" t="s">
        <v>1088</v>
      </c>
      <c r="C71" s="193" t="s">
        <v>1089</v>
      </c>
      <c r="D71" s="194" t="s">
        <v>1090</v>
      </c>
      <c r="E71" s="195"/>
    </row>
    <row r="72" ht="39.950000000000003" customHeight="1">
      <c r="A72" s="193">
        <v>71</v>
      </c>
      <c r="B72" s="193" t="s">
        <v>1091</v>
      </c>
      <c r="C72" s="193" t="s">
        <v>1092</v>
      </c>
      <c r="D72" s="194" t="s">
        <v>1093</v>
      </c>
      <c r="E72" s="195"/>
    </row>
    <row r="73" ht="39.950000000000003" customHeight="1">
      <c r="A73" s="193">
        <v>72</v>
      </c>
      <c r="B73" s="193" t="s">
        <v>1094</v>
      </c>
      <c r="C73" s="193" t="s">
        <v>1095</v>
      </c>
      <c r="D73" s="194" t="s">
        <v>1096</v>
      </c>
      <c r="E73" s="195"/>
    </row>
    <row r="74" ht="39.950000000000003" customHeight="1">
      <c r="A74" s="193">
        <v>73</v>
      </c>
      <c r="B74" s="193" t="s">
        <v>1097</v>
      </c>
      <c r="C74" s="193" t="s">
        <v>1098</v>
      </c>
      <c r="D74" s="194" t="s">
        <v>1099</v>
      </c>
      <c r="E74" s="195"/>
    </row>
    <row r="75" ht="39.950000000000003" customHeight="1">
      <c r="A75" s="193">
        <v>74</v>
      </c>
      <c r="B75" s="193" t="s">
        <v>1100</v>
      </c>
      <c r="C75" s="193" t="s">
        <v>1101</v>
      </c>
      <c r="D75" s="194" t="s">
        <v>1102</v>
      </c>
      <c r="E75" s="195"/>
    </row>
    <row r="76" ht="39.950000000000003" customHeight="1">
      <c r="A76" s="193">
        <v>75</v>
      </c>
      <c r="B76" s="193" t="s">
        <v>1103</v>
      </c>
      <c r="C76" s="193" t="s">
        <v>1104</v>
      </c>
      <c r="D76" s="194" t="s">
        <v>1105</v>
      </c>
      <c r="E76" s="195"/>
    </row>
    <row r="77" ht="39.950000000000003" customHeight="1">
      <c r="A77" s="193">
        <v>76</v>
      </c>
      <c r="B77" s="193" t="s">
        <v>1106</v>
      </c>
      <c r="C77" s="193"/>
      <c r="D77" s="194"/>
      <c r="E77" s="195"/>
    </row>
    <row r="78" ht="39.950000000000003" customHeight="1">
      <c r="A78" s="193">
        <v>77</v>
      </c>
      <c r="B78" s="193" t="s">
        <v>1107</v>
      </c>
      <c r="C78" s="193" t="s">
        <v>1108</v>
      </c>
      <c r="D78" s="194" t="s">
        <v>1109</v>
      </c>
      <c r="E78" s="195"/>
    </row>
    <row r="79" ht="39.950000000000003" customHeight="1">
      <c r="A79" s="193">
        <v>78</v>
      </c>
      <c r="B79" s="193" t="s">
        <v>1110</v>
      </c>
      <c r="C79" s="193" t="s">
        <v>1111</v>
      </c>
      <c r="D79" s="194" t="s">
        <v>1112</v>
      </c>
      <c r="E79" s="195"/>
    </row>
    <row r="80" ht="39.950000000000003" customHeight="1">
      <c r="A80" s="193">
        <v>79</v>
      </c>
      <c r="B80" s="193" t="s">
        <v>1113</v>
      </c>
      <c r="C80" s="193" t="s">
        <v>1114</v>
      </c>
      <c r="D80" s="194" t="s">
        <v>1115</v>
      </c>
      <c r="E80" s="195"/>
    </row>
    <row r="81" ht="50.100000000000001" customHeight="1">
      <c r="A81" s="193">
        <v>80</v>
      </c>
      <c r="B81" s="193" t="s">
        <v>1116</v>
      </c>
      <c r="C81" s="193" t="s">
        <v>1117</v>
      </c>
      <c r="D81" s="194" t="s">
        <v>1118</v>
      </c>
      <c r="E81" s="195"/>
    </row>
    <row r="82" ht="50.100000000000001" customHeight="1">
      <c r="A82" s="193">
        <v>81</v>
      </c>
      <c r="B82" s="193" t="s">
        <v>1119</v>
      </c>
      <c r="C82" s="193" t="s">
        <v>1120</v>
      </c>
      <c r="D82" s="194" t="s">
        <v>1121</v>
      </c>
      <c r="E82" s="195"/>
    </row>
    <row r="83" ht="39.950000000000003" customHeight="1">
      <c r="A83" s="193">
        <v>82</v>
      </c>
      <c r="B83" s="193" t="s">
        <v>1122</v>
      </c>
      <c r="C83" s="193" t="s">
        <v>1123</v>
      </c>
      <c r="D83" s="194" t="s">
        <v>1124</v>
      </c>
      <c r="E83" s="195"/>
    </row>
    <row r="84" ht="39.950000000000003" customHeight="1">
      <c r="A84" s="193">
        <v>83</v>
      </c>
      <c r="B84" s="193" t="s">
        <v>1125</v>
      </c>
      <c r="C84" s="193" t="s">
        <v>1126</v>
      </c>
      <c r="D84" s="194" t="s">
        <v>1127</v>
      </c>
      <c r="E84" s="195"/>
    </row>
    <row r="85" ht="50.100000000000001" customHeight="1">
      <c r="A85" s="193">
        <v>84</v>
      </c>
      <c r="B85" s="193" t="s">
        <v>1128</v>
      </c>
      <c r="C85" s="193" t="s">
        <v>1129</v>
      </c>
      <c r="D85" s="194" t="s">
        <v>1130</v>
      </c>
      <c r="E85" s="195"/>
    </row>
    <row r="86" ht="50.100000000000001" customHeight="1">
      <c r="A86" s="193">
        <v>85</v>
      </c>
      <c r="B86" s="193" t="s">
        <v>1131</v>
      </c>
      <c r="C86" s="193" t="s">
        <v>1132</v>
      </c>
      <c r="D86" s="194" t="s">
        <v>1133</v>
      </c>
      <c r="E86" s="195"/>
    </row>
    <row r="87" ht="50.100000000000001" customHeight="1">
      <c r="A87" s="193">
        <v>86</v>
      </c>
      <c r="B87" s="193" t="s">
        <v>1134</v>
      </c>
      <c r="C87" s="193" t="s">
        <v>1135</v>
      </c>
      <c r="D87" s="194" t="s">
        <v>1136</v>
      </c>
      <c r="E87" s="195"/>
    </row>
    <row r="88" ht="39.950000000000003" customHeight="1">
      <c r="A88" s="193">
        <v>87</v>
      </c>
      <c r="B88" s="193" t="s">
        <v>1137</v>
      </c>
      <c r="C88" s="193" t="s">
        <v>1138</v>
      </c>
      <c r="D88" s="194" t="s">
        <v>1139</v>
      </c>
      <c r="E88" s="195"/>
    </row>
    <row r="89" ht="39.950000000000003" customHeight="1">
      <c r="A89" s="193">
        <v>88</v>
      </c>
      <c r="B89" s="193" t="s">
        <v>1140</v>
      </c>
      <c r="C89" s="193" t="s">
        <v>1141</v>
      </c>
      <c r="D89" s="194" t="s">
        <v>1142</v>
      </c>
      <c r="E89" s="195"/>
    </row>
    <row r="90" ht="50.100000000000001" customHeight="1">
      <c r="A90" s="193">
        <v>89</v>
      </c>
      <c r="B90" s="193" t="s">
        <v>1143</v>
      </c>
      <c r="C90" s="193" t="s">
        <v>1144</v>
      </c>
      <c r="D90" s="194" t="s">
        <v>1145</v>
      </c>
      <c r="E90" s="195"/>
    </row>
    <row r="91" ht="39.950000000000003" customHeight="1">
      <c r="A91" s="193">
        <v>90</v>
      </c>
      <c r="B91" s="193" t="s">
        <v>1146</v>
      </c>
      <c r="C91" s="193" t="s">
        <v>1147</v>
      </c>
      <c r="D91" s="194" t="s">
        <v>1148</v>
      </c>
      <c r="E91" s="195"/>
    </row>
    <row r="92" ht="60" customHeight="1">
      <c r="A92" s="193">
        <v>91</v>
      </c>
      <c r="B92" s="193" t="s">
        <v>1149</v>
      </c>
      <c r="C92" s="193" t="s">
        <v>1150</v>
      </c>
      <c r="D92" s="194" t="s">
        <v>1151</v>
      </c>
      <c r="E92" s="195"/>
    </row>
    <row r="93" ht="39.950000000000003" customHeight="1">
      <c r="A93" s="193">
        <v>92</v>
      </c>
      <c r="B93" s="193" t="s">
        <v>1152</v>
      </c>
      <c r="C93" s="193" t="s">
        <v>1153</v>
      </c>
      <c r="D93" s="194" t="s">
        <v>1154</v>
      </c>
      <c r="E93" s="195"/>
    </row>
    <row r="94" ht="39.950000000000003" customHeight="1">
      <c r="A94" s="193">
        <v>93</v>
      </c>
      <c r="B94" s="193" t="s">
        <v>1155</v>
      </c>
      <c r="C94" s="193" t="s">
        <v>1156</v>
      </c>
      <c r="D94" s="194" t="s">
        <v>1157</v>
      </c>
      <c r="E94" s="195"/>
    </row>
    <row r="95" ht="39.950000000000003" customHeight="1">
      <c r="A95" s="193">
        <v>94</v>
      </c>
      <c r="B95" s="193" t="s">
        <v>1158</v>
      </c>
      <c r="C95" s="193" t="s">
        <v>1159</v>
      </c>
      <c r="D95" s="194" t="s">
        <v>1160</v>
      </c>
      <c r="E95" s="195"/>
    </row>
    <row r="96" ht="39.950000000000003" customHeight="1">
      <c r="A96" s="193">
        <v>95</v>
      </c>
      <c r="B96" s="193" t="s">
        <v>1161</v>
      </c>
      <c r="C96" s="193" t="s">
        <v>1162</v>
      </c>
      <c r="D96" s="194" t="s">
        <v>1163</v>
      </c>
      <c r="E96" s="195"/>
    </row>
    <row r="97" ht="39.950000000000003" customHeight="1">
      <c r="A97" s="193">
        <v>96</v>
      </c>
      <c r="B97" s="193" t="s">
        <v>1164</v>
      </c>
      <c r="C97" s="193" t="s">
        <v>1165</v>
      </c>
      <c r="D97" s="194" t="s">
        <v>1166</v>
      </c>
      <c r="E97" s="195"/>
    </row>
    <row r="98" ht="39.950000000000003" customHeight="1">
      <c r="A98" s="193">
        <v>97</v>
      </c>
      <c r="B98" s="193" t="s">
        <v>1167</v>
      </c>
      <c r="C98" s="193" t="s">
        <v>1168</v>
      </c>
      <c r="D98" s="194" t="s">
        <v>1169</v>
      </c>
      <c r="E98" s="195"/>
    </row>
    <row r="99" ht="39.950000000000003" customHeight="1">
      <c r="A99" s="193">
        <v>98</v>
      </c>
      <c r="B99" s="193" t="s">
        <v>1170</v>
      </c>
      <c r="C99" s="193" t="s">
        <v>1171</v>
      </c>
      <c r="D99" s="194" t="s">
        <v>1172</v>
      </c>
      <c r="E99" s="195"/>
    </row>
    <row r="100" ht="39.950000000000003" customHeight="1">
      <c r="A100" s="193">
        <v>99</v>
      </c>
      <c r="B100" s="193" t="s">
        <v>1173</v>
      </c>
      <c r="C100" s="193" t="s">
        <v>1174</v>
      </c>
      <c r="D100" s="194" t="s">
        <v>1175</v>
      </c>
      <c r="E100" s="195"/>
    </row>
    <row r="101" ht="60" customHeight="1">
      <c r="A101" s="193">
        <v>100</v>
      </c>
      <c r="B101" s="193" t="s">
        <v>1176</v>
      </c>
      <c r="C101" s="193" t="s">
        <v>1177</v>
      </c>
      <c r="D101" s="194" t="s">
        <v>1178</v>
      </c>
      <c r="E101" s="195"/>
    </row>
    <row r="102" ht="39.950000000000003" customHeight="1">
      <c r="A102" s="193">
        <v>101</v>
      </c>
      <c r="B102" s="193" t="s">
        <v>1179</v>
      </c>
      <c r="C102" s="193"/>
      <c r="D102" s="194"/>
      <c r="E102" s="195"/>
    </row>
    <row r="103" ht="39.950000000000003" customHeight="1">
      <c r="A103" s="193">
        <v>102</v>
      </c>
      <c r="B103" s="193" t="s">
        <v>1180</v>
      </c>
      <c r="C103" s="193" t="s">
        <v>1181</v>
      </c>
      <c r="D103" s="194" t="s">
        <v>1182</v>
      </c>
      <c r="E103" s="195"/>
    </row>
    <row r="104" ht="39.950000000000003" customHeight="1">
      <c r="A104" s="193">
        <v>103</v>
      </c>
      <c r="B104" s="193" t="s">
        <v>1183</v>
      </c>
      <c r="C104" s="193" t="s">
        <v>1184</v>
      </c>
      <c r="D104" s="194" t="s">
        <v>1185</v>
      </c>
      <c r="E104" s="195"/>
    </row>
    <row r="105" ht="50.100000000000001" customHeight="1">
      <c r="A105" s="193">
        <v>104</v>
      </c>
      <c r="B105" s="193" t="s">
        <v>1186</v>
      </c>
      <c r="C105" s="193" t="s">
        <v>1187</v>
      </c>
      <c r="D105" s="194" t="s">
        <v>1188</v>
      </c>
      <c r="E105" s="195"/>
    </row>
    <row r="106" ht="39.950000000000003" customHeight="1">
      <c r="A106" s="193">
        <v>105</v>
      </c>
      <c r="B106" s="193" t="s">
        <v>1189</v>
      </c>
      <c r="C106" s="193" t="s">
        <v>1190</v>
      </c>
      <c r="D106" s="194" t="s">
        <v>1191</v>
      </c>
      <c r="E106" s="195"/>
    </row>
    <row r="107" ht="39.950000000000003" customHeight="1">
      <c r="A107" s="193">
        <v>106</v>
      </c>
      <c r="B107" s="193" t="s">
        <v>1192</v>
      </c>
      <c r="C107" s="193" t="s">
        <v>1193</v>
      </c>
      <c r="D107" s="194" t="s">
        <v>1194</v>
      </c>
      <c r="E107" s="195"/>
    </row>
    <row r="108" ht="50.100000000000001" customHeight="1">
      <c r="A108" s="193">
        <v>107</v>
      </c>
      <c r="B108" s="193" t="s">
        <v>1195</v>
      </c>
      <c r="C108" s="193" t="s">
        <v>1196</v>
      </c>
      <c r="D108" s="194" t="s">
        <v>1197</v>
      </c>
      <c r="E108" s="195"/>
    </row>
    <row r="109" ht="50.100000000000001" customHeight="1">
      <c r="A109" s="193">
        <v>108</v>
      </c>
      <c r="B109" s="193" t="s">
        <v>1198</v>
      </c>
      <c r="C109" s="193" t="s">
        <v>1199</v>
      </c>
      <c r="D109" s="194" t="s">
        <v>1200</v>
      </c>
      <c r="E109" s="195"/>
    </row>
    <row r="110" ht="50.100000000000001" customHeight="1">
      <c r="A110" s="193">
        <v>109</v>
      </c>
      <c r="B110" s="193" t="s">
        <v>1201</v>
      </c>
      <c r="C110" s="193" t="s">
        <v>1202</v>
      </c>
      <c r="D110" s="194" t="s">
        <v>1203</v>
      </c>
      <c r="E110" s="195"/>
    </row>
    <row r="111" ht="39.950000000000003" customHeight="1">
      <c r="A111" s="193">
        <v>110</v>
      </c>
      <c r="B111" s="193" t="s">
        <v>1204</v>
      </c>
      <c r="C111" s="193" t="s">
        <v>1205</v>
      </c>
      <c r="D111" s="194" t="s">
        <v>1206</v>
      </c>
      <c r="E111" s="195"/>
    </row>
    <row r="112" ht="39.950000000000003" customHeight="1">
      <c r="A112" s="193">
        <v>111</v>
      </c>
      <c r="B112" s="193" t="s">
        <v>1207</v>
      </c>
      <c r="C112" s="193" t="s">
        <v>1208</v>
      </c>
      <c r="D112" s="194" t="s">
        <v>1209</v>
      </c>
      <c r="E112" s="195"/>
    </row>
    <row r="113" ht="50.100000000000001" customHeight="1">
      <c r="A113" s="193">
        <v>112</v>
      </c>
      <c r="B113" s="193" t="s">
        <v>1210</v>
      </c>
      <c r="C113" s="193" t="s">
        <v>1211</v>
      </c>
      <c r="D113" s="194" t="s">
        <v>1212</v>
      </c>
      <c r="E113" s="195"/>
    </row>
    <row r="114" ht="60" customHeight="1">
      <c r="A114" s="193">
        <v>113</v>
      </c>
      <c r="B114" s="193" t="s">
        <v>1213</v>
      </c>
      <c r="C114" s="193" t="s">
        <v>1214</v>
      </c>
      <c r="D114" s="194" t="s">
        <v>1215</v>
      </c>
      <c r="E114" s="195"/>
    </row>
    <row r="115" ht="80.099999999999994" customHeight="1">
      <c r="A115" s="193">
        <v>114</v>
      </c>
      <c r="B115" s="193" t="s">
        <v>1216</v>
      </c>
      <c r="C115" s="193" t="s">
        <v>1217</v>
      </c>
      <c r="D115" s="194" t="s">
        <v>1218</v>
      </c>
      <c r="E115" s="195"/>
    </row>
    <row r="116" ht="39.950000000000003" customHeight="1">
      <c r="A116" s="193">
        <v>115</v>
      </c>
      <c r="B116" s="193" t="s">
        <v>1219</v>
      </c>
      <c r="C116" s="193" t="s">
        <v>1220</v>
      </c>
      <c r="D116" s="194" t="s">
        <v>1221</v>
      </c>
      <c r="E116" s="195"/>
    </row>
    <row r="117" ht="39.950000000000003" customHeight="1">
      <c r="A117" s="193">
        <v>116</v>
      </c>
      <c r="B117" s="193" t="s">
        <v>1222</v>
      </c>
      <c r="C117" s="193" t="s">
        <v>1223</v>
      </c>
      <c r="D117" s="194" t="s">
        <v>1224</v>
      </c>
      <c r="E117" s="195"/>
    </row>
    <row r="118" ht="39.950000000000003" customHeight="1">
      <c r="A118" s="193">
        <v>117</v>
      </c>
      <c r="B118" s="193" t="s">
        <v>1225</v>
      </c>
      <c r="C118" s="193" t="s">
        <v>1226</v>
      </c>
      <c r="D118" s="194" t="s">
        <v>1227</v>
      </c>
      <c r="E118" s="195"/>
    </row>
    <row r="119" ht="39.950000000000003" customHeight="1">
      <c r="A119" s="193">
        <v>118</v>
      </c>
      <c r="B119" s="193" t="s">
        <v>1228</v>
      </c>
      <c r="C119" s="193" t="s">
        <v>1229</v>
      </c>
      <c r="D119" s="194" t="s">
        <v>1230</v>
      </c>
      <c r="E119" s="195"/>
    </row>
    <row r="120" ht="39.950000000000003" customHeight="1">
      <c r="A120" s="193">
        <v>119</v>
      </c>
      <c r="B120" s="193" t="s">
        <v>1231</v>
      </c>
      <c r="C120" s="193" t="s">
        <v>1232</v>
      </c>
      <c r="D120" s="194" t="s">
        <v>1233</v>
      </c>
      <c r="E120" s="195"/>
    </row>
    <row r="121" ht="39.950000000000003" customHeight="1">
      <c r="A121" s="193">
        <v>120</v>
      </c>
      <c r="B121" s="193" t="s">
        <v>1234</v>
      </c>
      <c r="C121" s="193" t="s">
        <v>1235</v>
      </c>
      <c r="D121" s="194" t="s">
        <v>1236</v>
      </c>
      <c r="E121" s="195"/>
    </row>
    <row r="122" ht="39.950000000000003" customHeight="1">
      <c r="A122" s="193">
        <v>121</v>
      </c>
      <c r="B122" s="193" t="s">
        <v>1237</v>
      </c>
      <c r="C122" s="193" t="s">
        <v>1238</v>
      </c>
      <c r="D122" s="194" t="s">
        <v>1239</v>
      </c>
      <c r="E122" s="195"/>
    </row>
    <row r="123" ht="50.100000000000001" customHeight="1">
      <c r="A123" s="193">
        <v>122</v>
      </c>
      <c r="B123" s="193" t="s">
        <v>1240</v>
      </c>
      <c r="C123" s="193" t="s">
        <v>1241</v>
      </c>
      <c r="D123" s="194" t="s">
        <v>1242</v>
      </c>
      <c r="E123" s="195"/>
    </row>
    <row r="124" ht="39.950000000000003" customHeight="1">
      <c r="A124" s="193">
        <v>123</v>
      </c>
      <c r="B124" s="193" t="s">
        <v>1243</v>
      </c>
      <c r="C124" s="193" t="s">
        <v>1174</v>
      </c>
      <c r="D124" s="194" t="s">
        <v>1175</v>
      </c>
      <c r="E124" s="195"/>
    </row>
    <row r="125" ht="39.950000000000003" customHeight="1">
      <c r="A125" s="193">
        <v>124</v>
      </c>
      <c r="B125" s="193" t="s">
        <v>1244</v>
      </c>
      <c r="C125" s="193"/>
      <c r="D125" s="194" t="s">
        <v>1245</v>
      </c>
      <c r="E125" s="195"/>
    </row>
    <row r="126" ht="39.950000000000003" customHeight="1">
      <c r="A126" s="193">
        <v>125</v>
      </c>
      <c r="B126" s="193" t="s">
        <v>1246</v>
      </c>
      <c r="C126" s="193" t="s">
        <v>1247</v>
      </c>
      <c r="D126" s="194" t="s">
        <v>1248</v>
      </c>
      <c r="E126" s="195"/>
    </row>
    <row r="127" ht="39.950000000000003" customHeight="1">
      <c r="A127" s="193">
        <v>126</v>
      </c>
      <c r="B127" s="193" t="s">
        <v>1249</v>
      </c>
      <c r="C127" s="193" t="s">
        <v>1250</v>
      </c>
      <c r="D127" s="194" t="s">
        <v>1251</v>
      </c>
      <c r="E127" s="195"/>
    </row>
    <row r="128" ht="39.950000000000003" customHeight="1">
      <c r="A128" s="193">
        <v>127</v>
      </c>
      <c r="B128" s="193" t="s">
        <v>1252</v>
      </c>
      <c r="C128" s="193" t="s">
        <v>1253</v>
      </c>
      <c r="D128" s="194" t="s">
        <v>1254</v>
      </c>
      <c r="E128" s="195"/>
    </row>
    <row r="129" ht="39.950000000000003" customHeight="1">
      <c r="A129" s="193">
        <v>128</v>
      </c>
      <c r="B129" s="193" t="s">
        <v>1255</v>
      </c>
      <c r="C129" s="193" t="s">
        <v>1256</v>
      </c>
      <c r="D129" s="194" t="s">
        <v>1257</v>
      </c>
      <c r="E129" s="195"/>
    </row>
    <row r="130" ht="39.950000000000003" customHeight="1">
      <c r="A130" s="193"/>
      <c r="B130" s="193"/>
      <c r="C130" s="193"/>
      <c r="D130" s="196"/>
      <c r="E130" s="195"/>
    </row>
    <row r="131" ht="39.950000000000003" customHeight="1">
      <c r="A131" s="193"/>
      <c r="B131" s="193"/>
      <c r="C131" s="193"/>
      <c r="D131" s="196"/>
      <c r="E131" s="195"/>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70070C-D501-43F7-90B7-7A0A5FD420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Laurent JULES</dc:creator>
  <cp:revision>1</cp:revision>
  <dcterms:created xsi:type="dcterms:W3CDTF">2024-11-23T10:15:29Z</dcterms:created>
  <dcterms:modified xsi:type="dcterms:W3CDTF">2026-02-17T08:12:50Z</dcterms:modified>
</cp:coreProperties>
</file>